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drawings/drawing6.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wilfred\Downloads\"/>
    </mc:Choice>
  </mc:AlternateContent>
  <xr:revisionPtr revIDLastSave="0" documentId="13_ncr:1_{5761A03F-E30E-45DB-A4D7-4DE7631E19F1}" xr6:coauthVersionLast="47" xr6:coauthVersionMax="47" xr10:uidLastSave="{00000000-0000-0000-0000-000000000000}"/>
  <bookViews>
    <workbookView xWindow="-110" yWindow="-110" windowWidth="19420" windowHeight="10420" xr2:uid="{76B88FFB-BE45-42AE-9F1F-CB636166D675}"/>
  </bookViews>
  <sheets>
    <sheet name="Dashboard" sheetId="1" r:id="rId1"/>
    <sheet name="Annual Summary" sheetId="9" r:id="rId2"/>
    <sheet name="Expenses Tracker" sheetId="2" r:id="rId3"/>
    <sheet name="Income Tracker" sheetId="3" r:id="rId4"/>
    <sheet name="PT Expense&amp;Bill Distribution" sheetId="11" r:id="rId5"/>
    <sheet name="Dropdown Lists" sheetId="10" r:id="rId6"/>
  </sheets>
  <definedNames>
    <definedName name="Accomodation">'Dropdown Lists'!$AG$13:$AG$15</definedName>
    <definedName name="Allowances">'Dropdown Lists'!$P$32:$P$34</definedName>
    <definedName name="Bank_Fees">'Dropdown Lists'!$F$13:$F$15</definedName>
    <definedName name="Bonuses">'Dropdown Lists'!$C$32:$C$34</definedName>
    <definedName name="Books_Materials">'Dropdown Lists'!$B$13:$B$17</definedName>
    <definedName name="Business_Income">'Dropdown Lists'!$A$22:$A$24</definedName>
    <definedName name="Car_Insurance_Registration">'Dropdown Lists'!$AD$13:$AD$15</definedName>
    <definedName name="Clothing_Accessories">'Dropdown Lists'!$U$13:$U$17</definedName>
    <definedName name="Commissions_Incentives">'Dropdown Lists'!$B$22:$B$23</definedName>
    <definedName name="Content_Creation">'Dropdown Lists'!$K$32:$K$36</definedName>
    <definedName name="Data_Analysis">'Dropdown Lists'!$E$32:$E$33</definedName>
    <definedName name="Debt_Repayment">'Dropdown Lists'!$D$13:$D$14</definedName>
    <definedName name="Design">'Dropdown Lists'!$F$32</definedName>
    <definedName name="Digital_Sales">'Dropdown Lists'!$L$32:$L$34</definedName>
    <definedName name="Education">'Dropdown Lists'!$A$3:$A$5</definedName>
    <definedName name="Emergency_Expenses">'Dropdown Lists'!$S$13:$S$15</definedName>
    <definedName name="Employee_Staff_Costs">'Dropdown Lists'!$AM$13:$AM$16</definedName>
    <definedName name="Entertainment_Recreation">'Dropdown Lists'!$W$13:$W$16</definedName>
    <definedName name="Financial">'Dropdown Lists'!$I$32:$I$34</definedName>
    <definedName name="Financial_Obligations">'Dropdown Lists'!$B$3:$B$7</definedName>
    <definedName name="Freelance_Contract">'Dropdown Lists'!$C$22:$C$25</definedName>
    <definedName name="Fuel_Gas">'Dropdown Lists'!$AA$13:$AA$15</definedName>
    <definedName name="Furniture_Appliances">'Dropdown Lists'!$R$13:$R$16</definedName>
    <definedName name="Gift_Donations">'Dropdown Lists'!$Z$13:$Z$15</definedName>
    <definedName name="Gift_Donations_Income">'Dropdown Lists'!$M$32:$M$33</definedName>
    <definedName name="Groceries">'Dropdown Lists'!$P$13:$P$16</definedName>
    <definedName name="Gym_Fitness">'Dropdown Lists'!$X$13:$X$16</definedName>
    <definedName name="Haircare_Beauty">'Dropdown Lists'!$V$13:$V$16</definedName>
    <definedName name="Health_Insurance">'Dropdown Lists'!$K$13</definedName>
    <definedName name="Healthy_Wellness">'Dropdown Lists'!$C$3:$C$6</definedName>
    <definedName name="Home_Maintenance">'Dropdown Lists'!$Q$13:$Q$16</definedName>
    <definedName name="Insurance_Premiums">'Dropdown Lists'!$H$13:$H$15</definedName>
    <definedName name="Internet_Cable">'Dropdown Lists'!$O$13:$O$15</definedName>
    <definedName name="Investments">'Dropdown Lists'!$D$22:$D$23</definedName>
    <definedName name="Living_Household">'Dropdown Lists'!$D$3:$D$8</definedName>
    <definedName name="Marketing_Advertising">'Dropdown Lists'!$AK$13:$AK$15</definedName>
    <definedName name="Meals_Drinks">'Dropdown Lists'!$AH$13:$AH$15</definedName>
    <definedName name="Medical_Bills">'Dropdown Lists'!$I$13:$I$16</definedName>
    <definedName name="Medications">'Dropdown Lists'!$J$13:$J$14</definedName>
    <definedName name="Miscellaneous">'Dropdown Lists'!$N$32</definedName>
    <definedName name="Miscellaneous_Others">'Dropdown Lists'!$E$3:$E$4</definedName>
    <definedName name="Monthly_Pay">'Dropdown Lists'!$Q$32:$Q$33</definedName>
    <definedName name="Office_Supplies">'Dropdown Lists'!$AJ$13:$AJ$16</definedName>
    <definedName name="Online_Courses">'Dropdown Lists'!$C$13:$C$15</definedName>
    <definedName name="Online_Digital_Income">'Dropdown Lists'!$E$22:$E$23</definedName>
    <definedName name="Other_Income">'Dropdown Lists'!$F$22:$F$24</definedName>
    <definedName name="Parking_Tolls">'Dropdown Lists'!$AE$13:$AE$15</definedName>
    <definedName name="Personal_Lifestyle">'Dropdown Lists'!$F$3:$F$8</definedName>
    <definedName name="Product_Sales">'Dropdown Lists'!$A$32:$A$35</definedName>
    <definedName name="Professional_Fees">'Dropdown Lists'!$AO$13:$AO$15</definedName>
    <definedName name="Property">'Dropdown Lists'!$J$32:$J$33</definedName>
    <definedName name="Public_Transport">'Dropdown Lists'!$AC$13:$AC$15</definedName>
    <definedName name="Refunds_Rebates">'Dropdown Lists'!$O$32:$O$33</definedName>
    <definedName name="Rent">'Dropdown Lists'!$M$13:$M$16</definedName>
    <definedName name="Salary_Wages">'Dropdown Lists'!$G$22:$G$23</definedName>
    <definedName name="Sales">'Dropdown Lists'!$D$32:$D$33</definedName>
    <definedName name="SAVINGS_GOAL_NAMES">'Dropdown Lists'!$A$49:$A$55</definedName>
    <definedName name="Savings_Investment">'Dropdown Lists'!$E$13:$E$16</definedName>
    <definedName name="Services">'Dropdown Lists'!$B$32:$B$34</definedName>
    <definedName name="Slicer_Frequency">#N/A</definedName>
    <definedName name="Slicer_Month">#N/A</definedName>
    <definedName name="Subscription">'Dropdown Lists'!$Y$13:$Y$17</definedName>
    <definedName name="Taxes_Levies">'Dropdown Lists'!$G$13:$G$14</definedName>
    <definedName name="Technical_Projects">'Dropdown Lists'!$G$32:$G$33</definedName>
    <definedName name="Tours_Leisure">'Dropdown Lists'!$AI$13:$AI$15</definedName>
    <definedName name="Training_Development">'Dropdown Lists'!$AN$13:$AN$15</definedName>
    <definedName name="Transport_Flight">'Dropdown Lists'!$AF$13:$AF$15</definedName>
    <definedName name="Transport_Logistics">'Dropdown Lists'!$AL$13:$AL$15</definedName>
    <definedName name="Transportation">'Dropdown Lists'!$G$3:$G$7</definedName>
    <definedName name="Travel">'Dropdown Lists'!$H$3:$H$6</definedName>
    <definedName name="Tuition_Fees">'Dropdown Lists'!$A$13:$A$14</definedName>
    <definedName name="Unplanned_Purchases">'Dropdown Lists'!$T$13:$T$14</definedName>
    <definedName name="Utilities">'Dropdown Lists'!$N$13:$N$17</definedName>
    <definedName name="Vehicle_Maintenance">'Dropdown Lists'!$AB$13:$AB$16</definedName>
    <definedName name="Wellness_Therapy">'Dropdown Lists'!$L$13:$L$15</definedName>
    <definedName name="Work_Business">'Dropdown Lists'!$I$3:$I$8</definedName>
    <definedName name="Writing">'Dropdown Lists'!$H$32</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2" i="3" l="1"/>
  <c r="C13" i="3"/>
  <c r="C14" i="3"/>
  <c r="C2" i="2"/>
  <c r="I2" i="2"/>
  <c r="C5" i="3"/>
  <c r="C6" i="3"/>
  <c r="C7" i="3"/>
  <c r="C3" i="2"/>
  <c r="C4" i="2"/>
  <c r="C5" i="2"/>
  <c r="C6" i="2"/>
  <c r="C7" i="2"/>
  <c r="B9" i="9" l="1" a="1"/>
  <c r="B9" i="9" s="1"/>
  <c r="B10" i="9" s="1" a="1"/>
  <c r="B10" i="9" s="1"/>
  <c r="B11" i="9" s="1" a="1"/>
  <c r="B11" i="9" s="1"/>
  <c r="B12" i="9" l="1" a="1"/>
  <c r="B12" i="9" s="1"/>
  <c r="B13" i="9" s="1" a="1"/>
  <c r="B13" i="9" s="1"/>
  <c r="B14" i="9" l="1" a="1"/>
  <c r="B14" i="9" s="1"/>
  <c r="B15" i="9" l="1" a="1"/>
  <c r="B15" i="9" s="1"/>
  <c r="B16" i="9" s="1" a="1"/>
  <c r="B16" i="9" s="1"/>
  <c r="B17" i="9" s="1" a="1"/>
  <c r="B17" i="9" s="1"/>
  <c r="B18" i="9" l="1" a="1"/>
  <c r="B18" i="9" s="1"/>
  <c r="B19" i="9" s="1" a="1"/>
  <c r="B19" i="9" s="1"/>
  <c r="B20" i="9" s="1" a="1"/>
  <c r="B20" i="9" s="1"/>
  <c r="C1" i="9" l="1"/>
  <c r="I7" i="2"/>
  <c r="I6" i="2"/>
  <c r="I7" i="3"/>
  <c r="I6" i="3"/>
  <c r="I5" i="3"/>
  <c r="I5" i="2"/>
  <c r="I4" i="2"/>
  <c r="I3" i="2"/>
  <c r="D9" i="9" l="1"/>
  <c r="C9" i="9"/>
  <c r="C10" i="9" l="1"/>
  <c r="D10" i="9"/>
  <c r="E9" i="9"/>
  <c r="D11" i="9" l="1"/>
  <c r="C3" i="9" s="1"/>
  <c r="C11" i="9"/>
  <c r="C2" i="9" s="1"/>
  <c r="E10" i="9"/>
  <c r="C4" i="9" l="1"/>
  <c r="E11" i="9"/>
  <c r="C13" i="9"/>
  <c r="D13" i="9"/>
  <c r="C12" i="9"/>
  <c r="D12" i="9"/>
  <c r="E13" i="9" l="1"/>
  <c r="D14" i="9"/>
  <c r="C14" i="9"/>
  <c r="E12" i="9"/>
  <c r="E14" i="9" l="1"/>
  <c r="D15" i="9"/>
  <c r="C15" i="9"/>
  <c r="D16" i="9" l="1"/>
  <c r="C16" i="9"/>
  <c r="E15" i="9"/>
  <c r="E16" i="9" l="1"/>
  <c r="D17" i="9"/>
  <c r="C17" i="9"/>
  <c r="E17" i="9" l="1"/>
  <c r="D18" i="9"/>
  <c r="C18" i="9"/>
  <c r="E18" i="9" l="1"/>
  <c r="C19" i="9"/>
  <c r="D19" i="9"/>
  <c r="D20" i="9" l="1"/>
  <c r="C3" i="1" s="1"/>
  <c r="C20" i="9"/>
  <c r="E19" i="9"/>
  <c r="E20" i="9" l="1"/>
  <c r="C2" i="1"/>
  <c r="C4"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FC17F7-421C-437C-B85C-97D58E87ABA6}" keepAlive="1" name="Query - Table5" description="Connection to the 'Table5' query in the workbook." type="5" refreshedVersion="0" background="1">
    <dbPr connection="Provider=Microsoft.Mashup.OleDb.1;Data Source=$Workbook$;Location=Table5;Extended Properties=&quot;&quot;" command="SELECT * FROM [Table5]"/>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<sst xmlns="http://schemas.openxmlformats.org/spreadsheetml/2006/main" count="410" uniqueCount="296">
  <si>
    <t>Income Summary</t>
  </si>
  <si>
    <t>Expense Summary</t>
  </si>
  <si>
    <t>Net Balance</t>
  </si>
  <si>
    <t>Category</t>
  </si>
  <si>
    <t>Budgeted</t>
  </si>
  <si>
    <t>Actual</t>
  </si>
  <si>
    <t>Difference</t>
  </si>
  <si>
    <t>Month</t>
  </si>
  <si>
    <t>Actual Income</t>
  </si>
  <si>
    <t>Actual Expenses</t>
  </si>
  <si>
    <t>Date</t>
  </si>
  <si>
    <t>Source</t>
  </si>
  <si>
    <t>Description</t>
  </si>
  <si>
    <t>Frequency</t>
  </si>
  <si>
    <t>Monthly</t>
  </si>
  <si>
    <t>Quarterly</t>
  </si>
  <si>
    <t>Annual</t>
  </si>
  <si>
    <t>Bi-Annual</t>
  </si>
  <si>
    <t>Rent</t>
  </si>
  <si>
    <t>Accomodation</t>
  </si>
  <si>
    <t>Subscription</t>
  </si>
  <si>
    <t>Spotify</t>
  </si>
  <si>
    <t>Living_Household</t>
  </si>
  <si>
    <t>Transportation</t>
  </si>
  <si>
    <t>Personal_Lifestyle</t>
  </si>
  <si>
    <t>Financial_Obligations</t>
  </si>
  <si>
    <t>Healthy_Wellness</t>
  </si>
  <si>
    <t>Work_Business</t>
  </si>
  <si>
    <t>Education</t>
  </si>
  <si>
    <t>Travel</t>
  </si>
  <si>
    <t>Miscellaneous_Others</t>
  </si>
  <si>
    <t>Utilities</t>
  </si>
  <si>
    <t>Groceries</t>
  </si>
  <si>
    <t>Medications</t>
  </si>
  <si>
    <t>Fuel_Gas</t>
  </si>
  <si>
    <t>Clothing_Accessories</t>
  </si>
  <si>
    <t>Haircare_Beauty</t>
  </si>
  <si>
    <t>Entertainment_Recreation</t>
  </si>
  <si>
    <t>Gym_Fitness</t>
  </si>
  <si>
    <t>Gift_Donations</t>
  </si>
  <si>
    <t>Parking_Tolls</t>
  </si>
  <si>
    <t>Savings_Investment</t>
  </si>
  <si>
    <t>Taxes_Levies</t>
  </si>
  <si>
    <t>Marketing_Advertising</t>
  </si>
  <si>
    <t>Transport_Logistics</t>
  </si>
  <si>
    <t>Employee_Staff Costs</t>
  </si>
  <si>
    <t>Training_Development</t>
  </si>
  <si>
    <t>Professional_Fees</t>
  </si>
  <si>
    <t>Books_Materials</t>
  </si>
  <si>
    <t>Online_Courses</t>
  </si>
  <si>
    <t>Tuition_Fees</t>
  </si>
  <si>
    <t>Office_Supplies</t>
  </si>
  <si>
    <t>Health_Insurance</t>
  </si>
  <si>
    <t>Wellness_Therapy</t>
  </si>
  <si>
    <t>Bank_Fees</t>
  </si>
  <si>
    <t>Insurance_Premiums</t>
  </si>
  <si>
    <t>Vehicle_Maintenance</t>
  </si>
  <si>
    <t>Public_Transport</t>
  </si>
  <si>
    <t>Debt_Repayment</t>
  </si>
  <si>
    <t>Medical_Bills</t>
  </si>
  <si>
    <t>Transport_Flight</t>
  </si>
  <si>
    <t>Meals_Drinks</t>
  </si>
  <si>
    <t>Tours_Leisure</t>
  </si>
  <si>
    <t>Emergency_Expenses</t>
  </si>
  <si>
    <t>Unplanned_Purchases</t>
  </si>
  <si>
    <t>EXPENSE DESCRIPTION</t>
  </si>
  <si>
    <t>EXPENSES CATEGORY/TYPE</t>
  </si>
  <si>
    <t>Monthly House Rent</t>
  </si>
  <si>
    <t>Yearly House Rent</t>
  </si>
  <si>
    <t>Mortgage Repayment</t>
  </si>
  <si>
    <t>Service Charge</t>
  </si>
  <si>
    <t>Electricity</t>
  </si>
  <si>
    <t>Water</t>
  </si>
  <si>
    <t>Rent_Mortgage</t>
  </si>
  <si>
    <t>Waste Disposal</t>
  </si>
  <si>
    <t>Gas Refill</t>
  </si>
  <si>
    <t>Prepaid Meter</t>
  </si>
  <si>
    <t>WI-FI Subscription</t>
  </si>
  <si>
    <t>Cable TV</t>
  </si>
  <si>
    <t>Phone Data Plans</t>
  </si>
  <si>
    <t>Food Items</t>
  </si>
  <si>
    <t>Beverages</t>
  </si>
  <si>
    <t>Cleaning Supplies</t>
  </si>
  <si>
    <t>Toiletries</t>
  </si>
  <si>
    <t>Repairs</t>
  </si>
  <si>
    <t>Plumbing</t>
  </si>
  <si>
    <t>Electrical</t>
  </si>
  <si>
    <t>Cleaning Services</t>
  </si>
  <si>
    <t>Furniture</t>
  </si>
  <si>
    <t>Electronics</t>
  </si>
  <si>
    <t>Replacements</t>
  </si>
  <si>
    <t>Décor</t>
  </si>
  <si>
    <t>Petrol</t>
  </si>
  <si>
    <t>Diesel</t>
  </si>
  <si>
    <t>Gas Top-ups</t>
  </si>
  <si>
    <t>Servicing</t>
  </si>
  <si>
    <t>Tires</t>
  </si>
  <si>
    <t>Oil Change</t>
  </si>
  <si>
    <t>Spare Parts</t>
  </si>
  <si>
    <t>Bus</t>
  </si>
  <si>
    <t>Taxi</t>
  </si>
  <si>
    <t>Ride Hailing</t>
  </si>
  <si>
    <t>Insurance</t>
  </si>
  <si>
    <t>License Renewal</t>
  </si>
  <si>
    <t>Documents</t>
  </si>
  <si>
    <t>Gate Fees</t>
  </si>
  <si>
    <t>Parking Tickets</t>
  </si>
  <si>
    <t>Toll Gate Charges</t>
  </si>
  <si>
    <t>Clothes</t>
  </si>
  <si>
    <t>Shoes</t>
  </si>
  <si>
    <t>Jewelry</t>
  </si>
  <si>
    <t>Fashion Bags</t>
  </si>
  <si>
    <t>Fashion Items</t>
  </si>
  <si>
    <t>Salon</t>
  </si>
  <si>
    <t>Barbing</t>
  </si>
  <si>
    <t>Cosmetics</t>
  </si>
  <si>
    <t>Skincare</t>
  </si>
  <si>
    <t>Movies</t>
  </si>
  <si>
    <t>Events</t>
  </si>
  <si>
    <t>Concerts</t>
  </si>
  <si>
    <t>Hangouts</t>
  </si>
  <si>
    <t>Gym Membership</t>
  </si>
  <si>
    <t>Workout Gear</t>
  </si>
  <si>
    <t>Supplements</t>
  </si>
  <si>
    <t>Netflix</t>
  </si>
  <si>
    <t>Apple Music</t>
  </si>
  <si>
    <t>Magazines</t>
  </si>
  <si>
    <t>Others</t>
  </si>
  <si>
    <t>Charity</t>
  </si>
  <si>
    <t>Birthday Presents</t>
  </si>
  <si>
    <t>Family Support</t>
  </si>
  <si>
    <t>Loan Repayments</t>
  </si>
  <si>
    <t>Borrowed Money</t>
  </si>
  <si>
    <t>Personal Savings</t>
  </si>
  <si>
    <t>Mutual Funds</t>
  </si>
  <si>
    <t>Stocks</t>
  </si>
  <si>
    <t>Transfer Charges</t>
  </si>
  <si>
    <t>Card Fees</t>
  </si>
  <si>
    <t>ATM Charges</t>
  </si>
  <si>
    <t>Income Taxes</t>
  </si>
  <si>
    <t>Local Govt Levies</t>
  </si>
  <si>
    <t>Business Insurance</t>
  </si>
  <si>
    <t>Property Insurance</t>
  </si>
  <si>
    <t>Life Insurance</t>
  </si>
  <si>
    <t>Hospital Bill</t>
  </si>
  <si>
    <t>Clinic Bill</t>
  </si>
  <si>
    <t>Dental Bill</t>
  </si>
  <si>
    <t>Drugs</t>
  </si>
  <si>
    <t>Premiunm Payment</t>
  </si>
  <si>
    <t>Spa</t>
  </si>
  <si>
    <t>Physiotherapy</t>
  </si>
  <si>
    <t>Counseling</t>
  </si>
  <si>
    <t>Stationery</t>
  </si>
  <si>
    <t>Paper</t>
  </si>
  <si>
    <t>Printer Ink</t>
  </si>
  <si>
    <t>Materials</t>
  </si>
  <si>
    <t>Flyers</t>
  </si>
  <si>
    <t>Promotions</t>
  </si>
  <si>
    <t>Social Media Ads</t>
  </si>
  <si>
    <t>Delivery</t>
  </si>
  <si>
    <t>Courier</t>
  </si>
  <si>
    <t>Fuel for Business Trips</t>
  </si>
  <si>
    <t>Salaries</t>
  </si>
  <si>
    <t>Wages</t>
  </si>
  <si>
    <t>Bonuses</t>
  </si>
  <si>
    <t>Welfare</t>
  </si>
  <si>
    <t>Courses</t>
  </si>
  <si>
    <t>Workshops</t>
  </si>
  <si>
    <t>Certifications</t>
  </si>
  <si>
    <t>Legal Services</t>
  </si>
  <si>
    <t>Consulting Services</t>
  </si>
  <si>
    <t>Accounting Services</t>
  </si>
  <si>
    <t>School Fees</t>
  </si>
  <si>
    <t>Training Fees</t>
  </si>
  <si>
    <t>Textbooks</t>
  </si>
  <si>
    <t>Notebooks</t>
  </si>
  <si>
    <t>Udemy Learning</t>
  </si>
  <si>
    <t>Coursera Learning</t>
  </si>
  <si>
    <t>Linkedln Learniing</t>
  </si>
  <si>
    <t>School Bags</t>
  </si>
  <si>
    <t>Uniforms</t>
  </si>
  <si>
    <t>Airfare</t>
  </si>
  <si>
    <t>Train Tickets</t>
  </si>
  <si>
    <t>Bus Tickets</t>
  </si>
  <si>
    <t>Hotel</t>
  </si>
  <si>
    <t>Lodging</t>
  </si>
  <si>
    <t>Airbnb</t>
  </si>
  <si>
    <t>Food on Trip</t>
  </si>
  <si>
    <t>Snacks on Trip</t>
  </si>
  <si>
    <t>Beverages on Trip</t>
  </si>
  <si>
    <t>Excursion</t>
  </si>
  <si>
    <t>Sightseeing</t>
  </si>
  <si>
    <t>Entertainment</t>
  </si>
  <si>
    <t>Unexpected Repairs</t>
  </si>
  <si>
    <t>Health Issues</t>
  </si>
  <si>
    <t>Impulse Buy</t>
  </si>
  <si>
    <t>Other</t>
  </si>
  <si>
    <t>Type</t>
  </si>
  <si>
    <t>Internet_Cable</t>
  </si>
  <si>
    <t>Furniture_Appliances</t>
  </si>
  <si>
    <t>Car_Insurance_Registration</t>
  </si>
  <si>
    <t>Home_Maintenance</t>
  </si>
  <si>
    <t>Employee_Staff_Costs</t>
  </si>
  <si>
    <t>INCOME SOURCE/TYPE</t>
  </si>
  <si>
    <t>Salary_Wages</t>
  </si>
  <si>
    <t>Monthly_Pay</t>
  </si>
  <si>
    <t>Allowances</t>
  </si>
  <si>
    <t>Business_Income</t>
  </si>
  <si>
    <t>Product_Sales</t>
  </si>
  <si>
    <t>Services</t>
  </si>
  <si>
    <t>Freelance_Contract</t>
  </si>
  <si>
    <t>Writing</t>
  </si>
  <si>
    <t>Design</t>
  </si>
  <si>
    <t>Technical_Projects</t>
  </si>
  <si>
    <t>Data_Analysis</t>
  </si>
  <si>
    <t>Financial</t>
  </si>
  <si>
    <t>Property</t>
  </si>
  <si>
    <t>Commissions_Incentives</t>
  </si>
  <si>
    <t>Investments</t>
  </si>
  <si>
    <t>Sales</t>
  </si>
  <si>
    <t>Online_Digital_Income</t>
  </si>
  <si>
    <t>Content_Creation</t>
  </si>
  <si>
    <t>Digital_Sales</t>
  </si>
  <si>
    <t>Other_Income</t>
  </si>
  <si>
    <t>Refunds_Rebates</t>
  </si>
  <si>
    <t>Miscellaneous</t>
  </si>
  <si>
    <t>INCOME DESCRIPTION</t>
  </si>
  <si>
    <t>Base_Salary</t>
  </si>
  <si>
    <t>Overtime</t>
  </si>
  <si>
    <t>Transport_Allowance</t>
  </si>
  <si>
    <t>Housing_Allowance</t>
  </si>
  <si>
    <t>Meal_Allowance</t>
  </si>
  <si>
    <t>Retail_Sales</t>
  </si>
  <si>
    <t>Wholesale</t>
  </si>
  <si>
    <t>Online_Store</t>
  </si>
  <si>
    <t>Consulting</t>
  </si>
  <si>
    <t>Hair_Beauty_Services</t>
  </si>
  <si>
    <t>Delivery_Logistics</t>
  </si>
  <si>
    <t>Content_Writiing</t>
  </si>
  <si>
    <t>Graphic_Design</t>
  </si>
  <si>
    <t>Web_Development</t>
  </si>
  <si>
    <t>IT_Support</t>
  </si>
  <si>
    <t>Business_Analysis</t>
  </si>
  <si>
    <t>Financial_Analysis</t>
  </si>
  <si>
    <t>Product_Commission</t>
  </si>
  <si>
    <t>Service_Commission</t>
  </si>
  <si>
    <t>Performance_Bonus</t>
  </si>
  <si>
    <t>Year_End_Bonus</t>
  </si>
  <si>
    <t>Dividends</t>
  </si>
  <si>
    <t>Stock_Profit</t>
  </si>
  <si>
    <t>Mutual_Fund_Returns</t>
  </si>
  <si>
    <t>Real_Estate_Profit</t>
  </si>
  <si>
    <t>Rent_Income</t>
  </si>
  <si>
    <t>Youtube</t>
  </si>
  <si>
    <t>Tiktok</t>
  </si>
  <si>
    <t>Facebook</t>
  </si>
  <si>
    <t>Other_Social_Media</t>
  </si>
  <si>
    <t>Ads_Sponsorship</t>
  </si>
  <si>
    <t>Ebooks</t>
  </si>
  <si>
    <t>Templates</t>
  </si>
  <si>
    <t>Online_Course</t>
  </si>
  <si>
    <t>Cash_Gift</t>
  </si>
  <si>
    <t>Family_Support</t>
  </si>
  <si>
    <t>Purchase_Refund</t>
  </si>
  <si>
    <t>Tax_Refund</t>
  </si>
  <si>
    <t>Gift_Donations_Income</t>
  </si>
  <si>
    <t>One_Time_Income</t>
  </si>
  <si>
    <t>Monthly_Bonus</t>
  </si>
  <si>
    <t>Discounts</t>
  </si>
  <si>
    <t>Investment_Fund</t>
  </si>
  <si>
    <t>Vacation_Fund</t>
  </si>
  <si>
    <t>Wardrobe_Fund</t>
  </si>
  <si>
    <t>Wedding_Fund</t>
  </si>
  <si>
    <t>SAVINGS_GOAL_NAMES</t>
  </si>
  <si>
    <t>BILL_FREQUENCY</t>
  </si>
  <si>
    <t>Tuition_Fund</t>
  </si>
  <si>
    <t>CURRENT MONTH</t>
  </si>
  <si>
    <t>NET BALANCE</t>
  </si>
  <si>
    <t>ACTUAL INCOMES</t>
  </si>
  <si>
    <t>ACTUAL EXPENSES</t>
  </si>
  <si>
    <t>ANNUAL INCOME VS EXPENSE SUMMARY</t>
  </si>
  <si>
    <t>Row Labels</t>
  </si>
  <si>
    <t>Grand Total</t>
  </si>
  <si>
    <t>Sum of Actual</t>
  </si>
  <si>
    <t>(All)</t>
  </si>
  <si>
    <t>Sum of Amount</t>
  </si>
  <si>
    <t>ANNUAL SUMMARY</t>
  </si>
  <si>
    <t>Emergency_Fund</t>
  </si>
  <si>
    <t>(blank)</t>
  </si>
  <si>
    <t>Estimate</t>
  </si>
  <si>
    <t>Shop Rent</t>
  </si>
  <si>
    <t>Internet</t>
  </si>
  <si>
    <t>Charge</t>
  </si>
  <si>
    <t>BILL_NAME</t>
  </si>
  <si>
    <t>Prime Video</t>
  </si>
  <si>
    <t>Twitter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</si>
</sst>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409]* #,##0.00_);_([$$-409]* \(#,##0.00\);_([$$-409]* &quot;-&quot;??_);_(@_)"/>
    <numFmt numFmtId="166" formatCode="[$-409]mmmm\ d\,\ yyyy;@"/>
    <numFmt numFmtId="167" formatCode="m/d/yy;@"/>
  </numFmts>
  <fonts count="17" x14ac:knownFonts="1">
    <font>
      <sz val="11"/>
      <color theme="1"/>
      <name val="Calibri"/>
      <family val="2"/>
      <scheme val="minor"/>
    </font>
    <font>
      <b/>
      <sz val="14"/>
      <color theme="1"/>
      <name val="Calibri"/>
      <family val="2"/>
      <scheme val="minor"/>
    </font>
    <font>
      <b/>
      <sz val="12"/>
      <color theme="1"/>
      <name val="Calibri"/>
      <family val="2"/>
      <scheme val="minor"/>
    </font>
    <font>
      <sz val="12"/>
      <color theme="1"/>
      <name val="Calibri"/>
      <family val="2"/>
      <scheme val="minor"/>
    </font>
    <font>
      <b/>
      <sz val="14"/>
      <color theme="0"/>
      <name val="Calibri"/>
      <family val="2"/>
      <scheme val="minor"/>
    </font>
    <font>
      <sz val="8"/>
      <name val="Calibri"/>
      <family val="2"/>
      <scheme val="minor"/>
    </font>
    <font>
      <b/>
      <sz val="16"/>
      <color theme="1"/>
      <name val="Calibri"/>
      <family val="2"/>
      <scheme val="minor"/>
    </font>
    <font>
      <sz val="11"/>
      <color theme="1"/>
      <name val="Calibri"/>
      <family val="2"/>
      <scheme val="minor"/>
    </font>
    <font>
      <b/>
      <sz val="11"/>
      <color theme="1"/>
      <name val="Calibri"/>
      <family val="2"/>
      <scheme val="minor"/>
    </font>
    <font>
      <b/>
      <sz val="13"/>
      <color theme="1"/>
      <name val="Calibri"/>
      <family val="2"/>
      <scheme val="minor"/>
    </font>
    <font>
      <u/>
      <sz val="11"/>
      <color theme="1"/>
      <name val="Calibri"/>
      <family val="2"/>
      <scheme val="minor"/>
    </font>
    <font>
      <b/>
      <sz val="16"/>
      <color theme="0"/>
      <name val="Calibri"/>
      <family val="2"/>
      <scheme val="minor"/>
    </font>
    <font>
      <b/>
      <sz val="14"/>
      <color rgb="FF1E3A8A"/>
      <name val="Calibri"/>
      <family val="2"/>
      <scheme val="minor"/>
    </font>
    <font>
      <b/>
      <sz val="14"/>
      <color rgb="FFFF0000"/>
      <name val="Calibri"/>
      <family val="2"/>
      <scheme val="minor"/>
    </font>
    <font>
      <b/>
      <sz val="16"/>
      <color rgb="FF1E3A8A"/>
      <name val="Calibri"/>
      <family val="2"/>
      <scheme val="minor"/>
    </font>
    <font>
      <b/>
      <sz val="16"/>
      <name val="Calibri"/>
      <family val="2"/>
      <scheme val="minor"/>
    </font>
    <font>
      <b/>
      <sz val="20"/>
      <color rgb="FF1E3A8A"/>
      <name val="Calibri"/>
      <family val="2"/>
      <scheme val="minor"/>
    </font>
  </fonts>
  <fills count="10">
    <fill>
      <patternFill patternType="none"/>
    </fill>
    <fill>
      <patternFill patternType="gray125"/>
    </fill>
    <fill>
      <patternFill patternType="solid">
        <fgColor theme="8" tint="0.39997558519241921"/>
        <bgColor indexed="64"/>
      </patternFill>
    </fill>
    <fill>
      <patternFill patternType="solid">
        <fgColor rgb="FF1E3A8A"/>
        <bgColor indexed="64"/>
      </patternFill>
    </fill>
    <fill>
      <patternFill patternType="solid">
        <fgColor theme="0"/>
        <bgColor indexed="64"/>
      </patternFill>
    </fill>
    <fill>
      <patternFill patternType="solid">
        <fgColor rgb="FFFACC15"/>
        <bgColor indexed="64"/>
      </patternFill>
    </fill>
    <fill>
      <patternFill patternType="solid">
        <fgColor rgb="FFEAEAEA"/>
        <bgColor indexed="64"/>
      </patternFill>
    </fill>
    <fill>
      <patternFill patternType="solid">
        <fgColor theme="5"/>
        <bgColor indexed="64"/>
      </patternFill>
    </fill>
    <fill>
      <patternFill patternType="solid">
        <fgColor theme="0" tint="-4.9989318521683403E-2"/>
        <bgColor indexed="64"/>
      </patternFill>
    </fill>
    <fill>
      <patternFill patternType="solid">
        <fgColor rgb="FFF2F2F2"/>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style="hair">
        <color auto="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44" fontId="7" fillId="0" borderId="0" applyFont="0" applyFill="0" applyBorder="0" applyAlignment="0" applyProtection="0"/>
  </cellStyleXfs>
  <cellXfs count="79">
    <xf numFmtId="0" fontId="0" fillId="0" borderId="0" xfId="0"/>
    <xf numFmtId="0" fontId="0" fillId="0" borderId="0" xfId="0" pivotButton="1"/>
    <xf numFmtId="0" fontId="0" fillId="0" borderId="0" xfId="0" applyAlignment="1">
      <alignment horizontal="left"/>
    </xf>
    <xf numFmtId="0" fontId="0" fillId="0" borderId="0" xfId="0" applyNumberFormat="1"/>
    <xf numFmtId="0" fontId="14" fillId="4" borderId="0" xfId="0" applyFont="1" applyFill="1" applyBorder="1" applyAlignment="1" applyProtection="1">
      <alignment horizontal="left" vertical="center"/>
      <protection locked="0"/>
    </xf>
    <xf numFmtId="0" fontId="4" fillId="4" borderId="0" xfId="0" applyFont="1" applyFill="1" applyBorder="1" applyAlignment="1" applyProtection="1">
      <alignment horizontal="center" vertical="center"/>
      <protection locked="0"/>
    </xf>
    <xf numFmtId="0" fontId="0" fillId="4" borderId="0" xfId="0" applyFill="1" applyBorder="1" applyAlignment="1" applyProtection="1">
      <alignment horizontal="center" vertical="center"/>
      <protection locked="0"/>
    </xf>
    <xf numFmtId="0" fontId="14" fillId="4" borderId="1" xfId="0" applyFont="1" applyFill="1" applyBorder="1" applyAlignment="1" applyProtection="1">
      <alignment horizontal="left" vertical="center"/>
      <protection locked="0"/>
    </xf>
    <xf numFmtId="164" fontId="0" fillId="4" borderId="0" xfId="0" applyNumberFormat="1" applyFill="1" applyBorder="1" applyAlignment="1" applyProtection="1">
      <alignment horizontal="center" vertical="center"/>
      <protection locked="0"/>
    </xf>
    <xf numFmtId="0" fontId="6" fillId="4" borderId="0" xfId="0" applyFont="1" applyFill="1" applyBorder="1" applyAlignment="1" applyProtection="1">
      <alignment horizontal="left" vertical="center"/>
      <protection locked="0"/>
    </xf>
    <xf numFmtId="164" fontId="6" fillId="4" borderId="0" xfId="0" applyNumberFormat="1" applyFont="1" applyFill="1" applyBorder="1" applyAlignment="1" applyProtection="1">
      <alignment horizontal="center" vertical="center"/>
      <protection locked="0"/>
    </xf>
    <xf numFmtId="0" fontId="6" fillId="4" borderId="0" xfId="0" applyFont="1" applyFill="1" applyBorder="1" applyAlignment="1" applyProtection="1">
      <alignment horizontal="center" vertical="center"/>
      <protection locked="0"/>
    </xf>
    <xf numFmtId="0" fontId="1" fillId="4" borderId="0" xfId="0" applyFont="1" applyFill="1" applyBorder="1" applyAlignment="1" applyProtection="1">
      <alignment horizontal="left" vertical="center"/>
      <protection locked="0"/>
    </xf>
    <xf numFmtId="0" fontId="2" fillId="4" borderId="0" xfId="0" applyFont="1" applyFill="1" applyBorder="1" applyAlignment="1" applyProtection="1">
      <alignment horizontal="left" vertical="center"/>
      <protection locked="0"/>
    </xf>
    <xf numFmtId="164" fontId="11" fillId="3" borderId="1" xfId="0" applyNumberFormat="1" applyFont="1" applyFill="1" applyBorder="1" applyAlignment="1" applyProtection="1">
      <alignment horizontal="center" vertical="center"/>
      <protection hidden="1"/>
    </xf>
    <xf numFmtId="164" fontId="11" fillId="5" borderId="1" xfId="0" applyNumberFormat="1" applyFont="1" applyFill="1" applyBorder="1" applyAlignment="1" applyProtection="1">
      <alignment horizontal="center" vertical="center"/>
      <protection hidden="1"/>
    </xf>
    <xf numFmtId="164" fontId="11" fillId="4" borderId="1" xfId="0" applyNumberFormat="1" applyFont="1" applyFill="1" applyBorder="1" applyAlignment="1" applyProtection="1">
      <alignment horizontal="center" vertical="center"/>
      <protection hidden="1"/>
    </xf>
    <xf numFmtId="0" fontId="0" fillId="4" borderId="0" xfId="0" applyFill="1" applyBorder="1" applyProtection="1">
      <protection locked="0"/>
    </xf>
    <xf numFmtId="0" fontId="13" fillId="4" borderId="2" xfId="0" applyFont="1" applyFill="1" applyBorder="1" applyAlignment="1" applyProtection="1">
      <alignment horizontal="center" vertical="center"/>
      <protection locked="0"/>
    </xf>
    <xf numFmtId="0" fontId="3" fillId="4" borderId="2" xfId="0" applyFont="1" applyFill="1" applyBorder="1" applyAlignment="1" applyProtection="1">
      <alignment horizontal="center" vertical="center"/>
      <protection locked="0"/>
    </xf>
    <xf numFmtId="0" fontId="1" fillId="4" borderId="2" xfId="0" applyFont="1" applyFill="1" applyBorder="1" applyProtection="1">
      <protection locked="0"/>
    </xf>
    <xf numFmtId="0" fontId="0" fillId="4" borderId="2" xfId="0" applyFill="1" applyBorder="1" applyProtection="1">
      <protection locked="0"/>
    </xf>
    <xf numFmtId="0" fontId="12" fillId="4" borderId="1" xfId="0" applyFont="1" applyFill="1" applyBorder="1" applyAlignment="1" applyProtection="1">
      <alignment horizontal="center" vertical="center"/>
      <protection locked="0"/>
    </xf>
    <xf numFmtId="0" fontId="3" fillId="4" borderId="0" xfId="0" applyFont="1" applyFill="1" applyBorder="1" applyAlignment="1" applyProtection="1">
      <alignment horizontal="center" vertical="center"/>
      <protection locked="0"/>
    </xf>
    <xf numFmtId="0" fontId="1" fillId="4" borderId="0" xfId="0" applyFont="1" applyFill="1" applyBorder="1" applyProtection="1">
      <protection locked="0"/>
    </xf>
    <xf numFmtId="0" fontId="15" fillId="6" borderId="1" xfId="0" applyFont="1" applyFill="1" applyBorder="1" applyAlignment="1" applyProtection="1">
      <alignment horizontal="center" vertical="center"/>
      <protection locked="0"/>
    </xf>
    <xf numFmtId="0" fontId="1" fillId="4" borderId="0" xfId="0" applyFont="1" applyFill="1" applyBorder="1" applyAlignment="1" applyProtection="1">
      <alignment horizontal="center" vertical="center"/>
      <protection locked="0"/>
    </xf>
    <xf numFmtId="0" fontId="16" fillId="4" borderId="0" xfId="0" applyFont="1" applyFill="1" applyBorder="1" applyAlignment="1" applyProtection="1">
      <alignment vertical="center"/>
      <protection locked="0"/>
    </xf>
    <xf numFmtId="0" fontId="14" fillId="4" borderId="0" xfId="0" applyFont="1" applyFill="1" applyBorder="1" applyAlignment="1" applyProtection="1">
      <alignment vertical="center"/>
      <protection locked="0"/>
    </xf>
    <xf numFmtId="0" fontId="4" fillId="3" borderId="6" xfId="0" applyFont="1" applyFill="1" applyBorder="1" applyAlignment="1" applyProtection="1">
      <alignment horizontal="center" vertical="center"/>
      <protection locked="0"/>
    </xf>
    <xf numFmtId="0" fontId="4" fillId="3" borderId="7" xfId="0" applyFont="1" applyFill="1" applyBorder="1" applyAlignment="1" applyProtection="1">
      <alignment horizontal="center" vertical="center"/>
      <protection locked="0"/>
    </xf>
    <xf numFmtId="0" fontId="4" fillId="3" borderId="5" xfId="0" applyFont="1" applyFill="1" applyBorder="1" applyAlignment="1" applyProtection="1">
      <alignment horizontal="center" vertical="center"/>
      <protection locked="0"/>
    </xf>
    <xf numFmtId="0" fontId="13" fillId="4" borderId="2" xfId="0" applyFont="1" applyFill="1" applyBorder="1" applyAlignment="1" applyProtection="1">
      <alignment horizontal="center" vertical="center"/>
      <protection hidden="1"/>
    </xf>
    <xf numFmtId="44" fontId="4" fillId="3" borderId="1" xfId="1" applyFont="1" applyFill="1" applyBorder="1" applyAlignment="1" applyProtection="1">
      <alignment horizontal="center" vertical="center"/>
      <protection hidden="1"/>
    </xf>
    <xf numFmtId="44" fontId="4" fillId="7" borderId="1" xfId="1" applyFont="1" applyFill="1" applyBorder="1" applyAlignment="1" applyProtection="1">
      <alignment horizontal="center" vertical="center"/>
      <protection hidden="1"/>
    </xf>
    <xf numFmtId="44" fontId="4" fillId="4" borderId="1" xfId="0" applyNumberFormat="1" applyFont="1" applyFill="1" applyBorder="1" applyAlignment="1" applyProtection="1">
      <alignment horizontal="center" vertical="center"/>
      <protection hidden="1"/>
    </xf>
    <xf numFmtId="44" fontId="3" fillId="8" borderId="1" xfId="1" applyFont="1" applyFill="1" applyBorder="1" applyAlignment="1" applyProtection="1">
      <alignment horizontal="center" vertical="center"/>
      <protection hidden="1"/>
    </xf>
    <xf numFmtId="44" fontId="3" fillId="8" borderId="9" xfId="1" applyFont="1" applyFill="1" applyBorder="1" applyAlignment="1" applyProtection="1">
      <alignment horizontal="center" vertical="center"/>
      <protection hidden="1"/>
    </xf>
    <xf numFmtId="44" fontId="3" fillId="8" borderId="10" xfId="1" applyFont="1" applyFill="1" applyBorder="1" applyAlignment="1" applyProtection="1">
      <alignment horizontal="center" vertical="center"/>
      <protection hidden="1"/>
    </xf>
    <xf numFmtId="44" fontId="3" fillId="8" borderId="3" xfId="1" applyFont="1" applyFill="1" applyBorder="1" applyAlignment="1" applyProtection="1">
      <alignment horizontal="center" vertical="center"/>
      <protection hidden="1"/>
    </xf>
    <xf numFmtId="0" fontId="0" fillId="4" borderId="0" xfId="0" applyFill="1" applyBorder="1" applyAlignment="1" applyProtection="1">
      <alignment horizontal="center" vertical="center" wrapText="1"/>
      <protection locked="0"/>
    </xf>
    <xf numFmtId="44" fontId="0" fillId="4" borderId="0" xfId="0" applyNumberFormat="1" applyFill="1" applyBorder="1" applyAlignment="1" applyProtection="1">
      <alignment horizontal="center" vertical="center"/>
      <protection locked="0"/>
    </xf>
    <xf numFmtId="0" fontId="4" fillId="3" borderId="7" xfId="0" applyFont="1" applyFill="1" applyBorder="1" applyAlignment="1" applyProtection="1">
      <alignment horizontal="center" vertical="center" wrapText="1"/>
      <protection locked="0"/>
    </xf>
    <xf numFmtId="44" fontId="4" fillId="3" borderId="7" xfId="0" applyNumberFormat="1" applyFont="1" applyFill="1" applyBorder="1" applyAlignment="1" applyProtection="1">
      <alignment horizontal="center" vertical="center"/>
      <protection locked="0"/>
    </xf>
    <xf numFmtId="167" fontId="0" fillId="4" borderId="8" xfId="0" applyNumberFormat="1" applyFill="1" applyBorder="1" applyAlignment="1" applyProtection="1">
      <alignment horizontal="center" vertical="center"/>
      <protection locked="0"/>
    </xf>
    <xf numFmtId="0" fontId="0" fillId="4" borderId="1" xfId="0" applyFill="1" applyBorder="1" applyAlignment="1" applyProtection="1">
      <alignment horizontal="center" vertical="center"/>
      <protection locked="0"/>
    </xf>
    <xf numFmtId="0" fontId="0" fillId="4" borderId="1" xfId="0" applyFill="1" applyBorder="1" applyAlignment="1" applyProtection="1">
      <alignment horizontal="center" vertical="center" wrapText="1"/>
      <protection locked="0"/>
    </xf>
    <xf numFmtId="44" fontId="0" fillId="4" borderId="1" xfId="0" applyNumberFormat="1" applyFill="1" applyBorder="1" applyAlignment="1" applyProtection="1">
      <alignment horizontal="center" vertical="center"/>
      <protection locked="0"/>
    </xf>
    <xf numFmtId="0" fontId="0" fillId="4" borderId="1" xfId="0" applyFill="1" applyBorder="1" applyAlignment="1" applyProtection="1">
      <alignment horizontal="center"/>
      <protection locked="0"/>
    </xf>
    <xf numFmtId="44" fontId="0" fillId="4" borderId="1" xfId="1" applyFont="1" applyFill="1" applyBorder="1" applyProtection="1">
      <protection locked="0"/>
    </xf>
    <xf numFmtId="0" fontId="0" fillId="4" borderId="10" xfId="0" applyFill="1" applyBorder="1" applyAlignment="1" applyProtection="1">
      <alignment horizontal="center"/>
      <protection locked="0"/>
    </xf>
    <xf numFmtId="44" fontId="0" fillId="4" borderId="10" xfId="1" applyFont="1" applyFill="1" applyBorder="1" applyProtection="1">
      <protection locked="0"/>
    </xf>
    <xf numFmtId="44" fontId="0" fillId="8" borderId="9" xfId="1" applyFont="1" applyFill="1" applyBorder="1" applyProtection="1">
      <protection hidden="1"/>
    </xf>
    <xf numFmtId="44" fontId="0" fillId="8" borderId="3" xfId="1" applyFont="1" applyFill="1" applyBorder="1" applyProtection="1">
      <protection hidden="1"/>
    </xf>
    <xf numFmtId="14" fontId="0" fillId="4" borderId="8" xfId="0" applyNumberFormat="1" applyFill="1" applyBorder="1" applyAlignment="1" applyProtection="1">
      <alignment horizontal="center" vertical="center"/>
      <protection locked="0"/>
    </xf>
    <xf numFmtId="14" fontId="0" fillId="4" borderId="4" xfId="0" applyNumberFormat="1" applyFill="1" applyBorder="1" applyAlignment="1" applyProtection="1">
      <alignment horizontal="center" vertical="center"/>
      <protection locked="0"/>
    </xf>
    <xf numFmtId="0" fontId="2" fillId="0" borderId="0" xfId="0" applyFont="1" applyProtection="1">
      <protection hidden="1"/>
    </xf>
    <xf numFmtId="0" fontId="0" fillId="0" borderId="0" xfId="0" applyProtection="1">
      <protection hidden="1"/>
    </xf>
    <xf numFmtId="0" fontId="1" fillId="2" borderId="0" xfId="0" applyFont="1" applyFill="1" applyProtection="1">
      <protection hidden="1"/>
    </xf>
    <xf numFmtId="0" fontId="8" fillId="2" borderId="0" xfId="0" applyFont="1" applyFill="1" applyProtection="1">
      <protection hidden="1"/>
    </xf>
    <xf numFmtId="0" fontId="9" fillId="2" borderId="0" xfId="0" applyFont="1" applyFill="1" applyProtection="1">
      <protection hidden="1"/>
    </xf>
    <xf numFmtId="0" fontId="10" fillId="0" borderId="0" xfId="0" applyFont="1" applyProtection="1">
      <protection hidden="1"/>
    </xf>
    <xf numFmtId="0" fontId="2" fillId="2" borderId="0" xfId="0" applyFont="1" applyFill="1" applyProtection="1">
      <protection hidden="1"/>
    </xf>
    <xf numFmtId="0" fontId="0" fillId="0" borderId="0" xfId="0" applyAlignment="1" applyProtection="1">
      <alignment horizontal="center" vertical="center"/>
      <protection hidden="1"/>
    </xf>
    <xf numFmtId="0" fontId="0" fillId="4" borderId="0" xfId="0" applyFill="1" applyBorder="1"/>
    <xf numFmtId="44" fontId="0" fillId="9" borderId="9" xfId="1" applyFont="1" applyFill="1" applyBorder="1" applyAlignment="1" applyProtection="1">
      <alignment horizontal="center" vertical="center"/>
      <protection hidden="1"/>
    </xf>
    <xf numFmtId="44" fontId="0" fillId="9" borderId="9" xfId="0" applyNumberFormat="1" applyFill="1" applyBorder="1" applyAlignment="1" applyProtection="1">
      <alignment horizontal="center" vertical="center"/>
      <protection hidden="1"/>
    </xf>
    <xf numFmtId="14" fontId="3" fillId="9" borderId="8" xfId="0" applyNumberFormat="1" applyFont="1" applyFill="1" applyBorder="1" applyAlignment="1" applyProtection="1">
      <alignment horizontal="center" vertical="center"/>
      <protection hidden="1"/>
    </xf>
    <xf numFmtId="14" fontId="3" fillId="9" borderId="4" xfId="0" applyNumberFormat="1" applyFont="1" applyFill="1" applyBorder="1" applyAlignment="1" applyProtection="1">
      <alignment horizontal="center" vertical="center"/>
      <protection hidden="1"/>
    </xf>
    <xf numFmtId="14" fontId="0" fillId="9" borderId="1" xfId="0" applyNumberFormat="1" applyFill="1" applyBorder="1" applyAlignment="1" applyProtection="1">
      <alignment horizontal="center" vertical="center"/>
      <protection hidden="1"/>
    </xf>
    <xf numFmtId="0" fontId="0" fillId="9" borderId="1" xfId="0" applyFill="1" applyBorder="1" applyAlignment="1" applyProtection="1">
      <alignment horizontal="center"/>
      <protection hidden="1"/>
    </xf>
    <xf numFmtId="0" fontId="0" fillId="9" borderId="10" xfId="0" applyFill="1" applyBorder="1" applyAlignment="1" applyProtection="1">
      <alignment horizontal="center"/>
      <protection hidden="1"/>
    </xf>
    <xf numFmtId="14" fontId="0" fillId="4" borderId="0" xfId="0" applyNumberFormat="1" applyFill="1" applyBorder="1" applyAlignment="1" applyProtection="1">
      <alignment horizontal="center" vertical="center"/>
      <protection locked="0"/>
    </xf>
    <xf numFmtId="14" fontId="0" fillId="4" borderId="0" xfId="0" applyNumberFormat="1" applyFill="1" applyBorder="1" applyProtection="1">
      <protection locked="0"/>
    </xf>
    <xf numFmtId="0" fontId="0" fillId="9" borderId="1" xfId="0" applyNumberFormat="1" applyFill="1" applyBorder="1" applyAlignment="1" applyProtection="1">
      <alignment horizontal="center"/>
      <protection hidden="1"/>
    </xf>
    <xf numFmtId="44" fontId="0" fillId="8" borderId="3" xfId="1" applyFont="1" applyFill="1" applyBorder="1" applyProtection="1">
      <protection locked="0"/>
    </xf>
    <xf numFmtId="0" fontId="0" fillId="9" borderId="10" xfId="0" applyNumberFormat="1" applyFill="1" applyBorder="1" applyAlignment="1" applyProtection="1">
      <alignment horizontal="center"/>
      <protection locked="0"/>
    </xf>
    <xf numFmtId="0" fontId="0" fillId="0" borderId="1" xfId="0" applyBorder="1" applyAlignment="1" applyProtection="1">
      <alignment horizontal="center"/>
      <protection hidden="1"/>
    </xf>
    <xf numFmtId="0" fontId="0" fillId="0" borderId="10" xfId="0" applyBorder="1" applyAlignment="1" applyProtection="1">
      <alignment horizontal="center"/>
      <protection hidden="1"/>
    </xf>
  </cellXfs>
  <cellStyles count="2">
    <cellStyle name="Currency" xfId="1" builtinId="4"/>
    <cellStyle name="Normal" xfId="0" builtinId="0"/>
  </cellStyles>
  <dxfs count="283">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1"/>
    </dxf>
    <dxf>
      <border outline="0">
        <bottom style="thin">
          <color auto="1"/>
        </bottom>
      </border>
    </dxf>
    <dxf>
      <alignment horizontal="center" vertical="bottom" textRotation="0" wrapText="0" indent="0" justifyLastLine="0" shrinkToFit="0" readingOrder="0"/>
      <protection locked="1" hidden="1"/>
    </dxf>
    <dxf>
      <font>
        <b/>
        <i val="0"/>
        <strike val="0"/>
        <condense val="0"/>
        <extend val="0"/>
        <outline val="0"/>
        <shadow val="0"/>
        <u val="none"/>
        <vertAlign val="baseline"/>
        <sz val="12"/>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2"/>
        <color theme="1"/>
        <name val="Calibri"/>
        <family val="2"/>
        <scheme val="minor"/>
      </font>
      <fill>
        <patternFill patternType="solid">
          <fgColor indexed="64"/>
          <bgColor theme="8" tint="0.39997558519241921"/>
        </patternFill>
      </fill>
      <protection locked="1" hidden="1"/>
    </dxf>
    <dxf>
      <alignment horizontal="center" vertical="center" textRotation="0" wrapText="0" indent="0" justifyLastLine="0" shrinkToFit="0" readingOrder="0"/>
      <protection locked="1" hidden="1"/>
    </dxf>
    <dxf>
      <alignment horizontal="center" vertical="center" textRotation="0" wrapText="0" indent="0" justifyLastLine="0" shrinkToFit="0" readingOrder="0"/>
      <protection locked="1" hidden="1"/>
    </dxf>
    <dxf>
      <font>
        <b/>
        <i val="0"/>
        <strike val="0"/>
        <condense val="0"/>
        <extend val="0"/>
        <outline val="0"/>
        <shadow val="0"/>
        <u val="none"/>
        <vertAlign val="baseline"/>
        <sz val="12"/>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4"/>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4"/>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4"/>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4"/>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4"/>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4"/>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4"/>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4"/>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4"/>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3"/>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3"/>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3"/>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3"/>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3"/>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3"/>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3"/>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font>
        <b val="0"/>
        <i val="0"/>
        <strike val="0"/>
        <condense val="0"/>
        <extend val="0"/>
        <outline val="0"/>
        <shadow val="0"/>
        <u/>
        <vertAlign val="baseline"/>
        <sz val="11"/>
        <color theme="1"/>
        <name val="Calibri"/>
        <family val="2"/>
        <scheme val="minor"/>
      </font>
      <protection locked="1" hidden="1"/>
    </dxf>
    <dxf>
      <font>
        <b val="0"/>
        <i val="0"/>
        <strike val="0"/>
        <condense val="0"/>
        <extend val="0"/>
        <outline val="0"/>
        <shadow val="0"/>
        <u/>
        <vertAlign val="baseline"/>
        <sz val="11"/>
        <color theme="1"/>
        <name val="Calibri"/>
        <family val="2"/>
        <scheme val="minor"/>
      </font>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fill>
        <patternFill patternType="solid">
          <fgColor indexed="64"/>
          <bgColor theme="0" tint="-4.9989318521683403E-2"/>
        </patternFill>
      </fill>
      <border diagonalUp="0" diagonalDown="0">
        <left style="thin">
          <color indexed="64"/>
        </left>
        <right/>
        <top style="thin">
          <color indexed="64"/>
        </top>
        <bottom style="thin">
          <color indexed="64"/>
        </bottom>
      </border>
      <protection locked="0" hidden="0"/>
    </dxf>
    <dxf>
      <fill>
        <patternFill>
          <fgColor indexed="64"/>
          <bgColor theme="0"/>
        </patternFill>
      </fill>
      <border diagonalUp="0" diagonalDown="0">
        <left style="thin">
          <color indexed="64"/>
        </left>
        <right style="thin">
          <color indexed="64"/>
        </right>
        <top style="thin">
          <color indexed="64"/>
        </top>
        <bottom style="thin">
          <color indexed="64"/>
        </bottom>
      </border>
      <protection locked="0" hidden="0"/>
    </dxf>
    <dxf>
      <fill>
        <patternFill>
          <fgColor indexed="64"/>
          <bgColor theme="0"/>
        </patternFill>
      </fill>
      <border diagonalUp="0" diagonalDown="0">
        <left style="thin">
          <color auto="1"/>
        </left>
        <right style="thin">
          <color indexed="64"/>
        </right>
        <top style="thin">
          <color indexed="64"/>
        </top>
        <bottom style="thin">
          <color indexed="64"/>
        </bottom>
      </border>
      <protection locked="0" hidden="0"/>
    </dxf>
    <dxf>
      <fill>
        <patternFill>
          <fgColor indexed="64"/>
          <bgColor theme="0"/>
        </patternFill>
      </fill>
      <alignment horizontal="center" vertical="bottom" textRotation="0" wrapText="0" indent="0" justifyLastLine="0" shrinkToFit="0" readingOrder="0"/>
      <border diagonalUp="0" diagonalDown="0">
        <left style="thin">
          <color auto="1"/>
        </left>
        <right style="thin">
          <color indexed="64"/>
        </right>
        <top style="thin">
          <color indexed="64"/>
        </top>
        <bottom style="thin">
          <color indexed="64"/>
        </bottom>
      </border>
      <protection locked="0" hidden="0"/>
    </dxf>
    <dxf>
      <fill>
        <patternFill>
          <fgColor indexed="64"/>
          <bgColor theme="0"/>
        </patternFill>
      </fill>
      <alignment horizontal="center" vertical="bottom" textRotation="0" wrapText="0" indent="0" justifyLastLine="0" shrinkToFit="0" readingOrder="0"/>
      <border diagonalUp="0" diagonalDown="0">
        <left style="thin">
          <color auto="1"/>
        </left>
        <right style="thin">
          <color auto="1"/>
        </right>
        <top style="thin">
          <color indexed="64"/>
        </top>
        <bottom style="thin">
          <color indexed="64"/>
        </bottom>
      </border>
      <protection locked="0" hidden="0"/>
    </dxf>
    <dxf>
      <fill>
        <patternFill>
          <fgColor indexed="64"/>
          <bgColor theme="0"/>
        </patternFill>
      </fill>
      <alignment horizontal="center" vertical="bottom" textRotation="0" wrapText="0" indent="0" justifyLastLine="0" shrinkToFit="0" readingOrder="0"/>
      <border diagonalUp="0" diagonalDown="0">
        <left style="thin">
          <color auto="1"/>
        </left>
        <right style="thin">
          <color auto="1"/>
        </right>
        <top style="thin">
          <color indexed="64"/>
        </top>
        <bottom style="thin">
          <color indexed="64"/>
        </bottom>
      </border>
      <protection locked="0" hidden="0"/>
    </dxf>
    <dxf>
      <numFmt numFmtId="0" formatCode="General"/>
      <fill>
        <patternFill patternType="solid">
          <fgColor indexed="64"/>
          <bgColor rgb="FFF2F2F2"/>
        </patternFill>
      </fill>
      <alignment horizontal="center" vertical="bottom" textRotation="0" wrapText="0" indent="0" justifyLastLine="0" shrinkToFit="0" readingOrder="0"/>
      <border diagonalUp="0" diagonalDown="0">
        <left style="thin">
          <color indexed="64"/>
        </left>
        <right style="thin">
          <color auto="1"/>
        </right>
        <top style="thin">
          <color indexed="64"/>
        </top>
        <bottom style="thin">
          <color indexed="64"/>
        </bottom>
      </border>
      <protection locked="0" hidden="0"/>
    </dxf>
    <dxf>
      <fill>
        <patternFill>
          <fgColor indexed="64"/>
          <bgColor theme="0"/>
        </patternFill>
      </fill>
      <alignment horizontal="center" vertical="center" textRotation="0" wrapText="0" indent="0" justifyLastLine="0" shrinkToFit="0" readingOrder="0"/>
      <border diagonalUp="0" diagonalDown="0">
        <left/>
        <right style="thin">
          <color auto="1"/>
        </right>
        <top style="thin">
          <color indexed="64"/>
        </top>
        <bottom style="thin">
          <color indexed="64"/>
        </bottom>
      </border>
      <protection locked="0" hidden="0"/>
    </dxf>
    <dxf>
      <border>
        <top style="thin">
          <color indexed="64"/>
        </top>
      </border>
    </dxf>
    <dxf>
      <border diagonalUp="0" diagonalDown="0">
        <left style="thin">
          <color indexed="64"/>
        </left>
        <right style="thin">
          <color indexed="64"/>
        </right>
        <top style="thin">
          <color indexed="64"/>
        </top>
        <bottom style="thin">
          <color indexed="64"/>
        </bottom>
      </border>
    </dxf>
    <dxf>
      <fill>
        <patternFill>
          <fgColor indexed="64"/>
          <bgColor theme="0"/>
        </patternFill>
      </fill>
      <protection locked="0" hidden="0"/>
    </dxf>
    <dxf>
      <border>
        <bottom style="thin">
          <color indexed="64"/>
        </bottom>
      </border>
    </dxf>
    <dxf>
      <font>
        <b/>
        <i val="0"/>
        <strike val="0"/>
        <condense val="0"/>
        <extend val="0"/>
        <outline val="0"/>
        <shadow val="0"/>
        <u val="none"/>
        <vertAlign val="baseline"/>
        <sz val="14"/>
        <color theme="0"/>
        <name val="Calibri"/>
        <family val="2"/>
        <scheme val="minor"/>
      </font>
      <fill>
        <patternFill patternType="solid">
          <fgColor indexed="64"/>
          <bgColor rgb="FF1E3A8A"/>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0" hidden="0"/>
    </dxf>
    <dxf>
      <fill>
        <patternFill>
          <bgColor theme="2"/>
        </patternFill>
      </fill>
    </dxf>
    <dxf>
      <font>
        <color rgb="FF9C0006"/>
      </font>
      <fill>
        <patternFill>
          <bgColor rgb="FFFFC7CE"/>
        </patternFill>
      </fill>
    </dxf>
    <dxf>
      <fill>
        <patternFill>
          <bgColor theme="9" tint="0.59996337778862885"/>
        </patternFill>
      </fill>
    </dxf>
    <dxf>
      <fill>
        <patternFill patternType="solid">
          <fgColor indexed="64"/>
          <bgColor rgb="FFF2F2F2"/>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border>
      <protection locked="1" hidden="1"/>
    </dxf>
    <dxf>
      <numFmt numFmtId="34" formatCode="_(&quot;$&quot;* #,##0.00_);_(&quot;$&quot;* \(#,##0.00\);_(&quot;$&quot;* &quot;-&quot;??_);_(@_)"/>
      <fill>
        <patternFill>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numFmt numFmtId="34" formatCode="_(&quot;$&quot;* #,##0.00_);_(&quot;$&quot;* \(#,##0.00\);_(&quot;$&quot;* &quot;-&quot;??_);_(@_)"/>
      <fill>
        <patternFill>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fgColor indexed="64"/>
          <bgColor theme="0"/>
        </patternFill>
      </fill>
      <alignment horizontal="center" vertical="center" textRotation="0" wrapText="0" indent="0" justifyLastLine="0" shrinkToFit="0" readingOrder="0"/>
      <border diagonalUp="0" diagonalDown="0">
        <left style="thin">
          <color auto="1"/>
        </left>
        <right style="thin">
          <color indexed="64"/>
        </right>
        <top style="thin">
          <color indexed="64"/>
        </top>
        <bottom style="thin">
          <color indexed="64"/>
        </bottom>
      </border>
      <protection locked="0" hidden="0"/>
    </dxf>
    <dxf>
      <numFmt numFmtId="19" formatCode="m/d/yyyy"/>
      <fill>
        <patternFill patternType="solid">
          <fgColor indexed="64"/>
          <bgColor rgb="FFF2F2F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67" formatCode="m/d/yy;@"/>
      <fill>
        <patternFill>
          <fgColor indexed="64"/>
          <bgColor theme="0"/>
        </patternFill>
      </fill>
      <alignment horizontal="center" vertical="center" textRotation="0" wrapText="0" indent="0" justifyLastLine="0" shrinkToFit="0" readingOrder="0"/>
      <border diagonalUp="0" diagonalDown="0">
        <left/>
        <right style="thin">
          <color auto="1"/>
        </right>
        <top style="thin">
          <color indexed="64"/>
        </top>
        <bottom style="thin">
          <color indexed="64"/>
        </bottom>
      </border>
      <protection locked="0" hidden="0"/>
    </dxf>
    <dxf>
      <border>
        <top style="thin">
          <color indexed="64"/>
        </top>
      </border>
    </dxf>
    <dxf>
      <border diagonalUp="0" diagonalDown="0">
        <left style="thin">
          <color indexed="64"/>
        </left>
        <right style="thin">
          <color indexed="64"/>
        </right>
        <top style="thin">
          <color indexed="64"/>
        </top>
        <bottom style="thin">
          <color indexed="64"/>
        </bottom>
      </border>
    </dxf>
    <dxf>
      <fill>
        <patternFill>
          <fgColor indexed="64"/>
          <bgColor theme="0"/>
        </patternFill>
      </fill>
      <alignment horizontal="center" vertical="center" textRotation="0" wrapText="0" indent="0" justifyLastLine="0" shrinkToFit="0" readingOrder="0"/>
      <protection locked="0" hidden="0"/>
    </dxf>
    <dxf>
      <border>
        <bottom style="thin">
          <color indexed="64"/>
        </bottom>
      </border>
    </dxf>
    <dxf>
      <font>
        <b/>
        <i val="0"/>
        <strike val="0"/>
        <condense val="0"/>
        <extend val="0"/>
        <outline val="0"/>
        <shadow val="0"/>
        <u val="none"/>
        <vertAlign val="baseline"/>
        <sz val="14"/>
        <color theme="0"/>
        <name val="Calibri"/>
        <family val="2"/>
        <scheme val="minor"/>
      </font>
      <fill>
        <patternFill patternType="solid">
          <fgColor indexed="64"/>
          <bgColor rgb="FF1E3A8A"/>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0" hidden="0"/>
    </dxf>
    <dxf>
      <font>
        <color rgb="FF006100"/>
      </font>
      <fill>
        <patternFill>
          <bgColor rgb="FFC6EFCE"/>
        </patternFill>
      </fill>
    </dxf>
    <dxf>
      <font>
        <color rgb="FF9C0006"/>
      </font>
      <fill>
        <patternFill>
          <bgColor rgb="FFFFC7CE"/>
        </patternFill>
      </fill>
    </dxf>
    <dxf>
      <fill>
        <patternFill>
          <bgColor rgb="FFE7E6E6"/>
        </patternFill>
      </fill>
    </dxf>
    <dxf>
      <font>
        <b val="0"/>
        <i val="0"/>
        <strike val="0"/>
        <condense val="0"/>
        <extend val="0"/>
        <outline val="0"/>
        <shadow val="0"/>
        <u val="none"/>
        <vertAlign val="baseline"/>
        <sz val="12"/>
        <color theme="1"/>
        <name val="Calibri"/>
        <family val="2"/>
        <scheme val="minor"/>
      </font>
      <numFmt numFmtId="34" formatCode="_(&quot;$&quot;* #,##0.00_);_(&quot;$&quot;* \(#,##0.00\);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auto="1"/>
        </left>
        <right/>
        <top style="thin">
          <color indexed="64"/>
        </top>
        <bottom style="thin">
          <color indexed="64"/>
        </bottom>
      </border>
      <protection locked="1" hidden="1"/>
    </dxf>
    <dxf>
      <font>
        <b val="0"/>
        <i val="0"/>
        <strike val="0"/>
        <condense val="0"/>
        <extend val="0"/>
        <outline val="0"/>
        <shadow val="0"/>
        <u val="none"/>
        <vertAlign val="baseline"/>
        <sz val="12"/>
        <color theme="1"/>
        <name val="Calibri"/>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auto="1"/>
        </left>
        <right style="thin">
          <color auto="1"/>
        </right>
        <top style="thin">
          <color indexed="64"/>
        </top>
        <bottom style="thin">
          <color indexed="64"/>
        </bottom>
      </border>
      <protection locked="1" hidden="1"/>
    </dxf>
    <dxf>
      <font>
        <b val="0"/>
        <i val="0"/>
        <strike val="0"/>
        <condense val="0"/>
        <extend val="0"/>
        <outline val="0"/>
        <shadow val="0"/>
        <u val="none"/>
        <vertAlign val="baseline"/>
        <sz val="12"/>
        <color theme="1"/>
        <name val="Calibri"/>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auto="1"/>
        </right>
        <top style="thin">
          <color indexed="64"/>
        </top>
        <bottom style="thin">
          <color indexed="64"/>
        </bottom>
      </border>
      <protection locked="1" hidden="1"/>
    </dxf>
    <dxf>
      <font>
        <b val="0"/>
        <i val="0"/>
        <strike val="0"/>
        <condense val="0"/>
        <extend val="0"/>
        <outline val="0"/>
        <shadow val="0"/>
        <u val="none"/>
        <vertAlign val="baseline"/>
        <sz val="12"/>
        <color theme="1"/>
        <name val="Calibri"/>
        <family val="2"/>
        <scheme val="minor"/>
      </font>
      <numFmt numFmtId="19" formatCode="m/d/yyyy"/>
      <fill>
        <patternFill patternType="solid">
          <fgColor indexed="64"/>
          <bgColor rgb="FFF2F2F2"/>
        </patternFill>
      </fill>
      <alignment horizontal="center" vertical="center" textRotation="0" wrapText="0" indent="0" justifyLastLine="0" shrinkToFit="0" readingOrder="0"/>
      <border diagonalUp="0" diagonalDown="0">
        <left/>
        <right style="thin">
          <color auto="1"/>
        </right>
        <top style="thin">
          <color indexed="64"/>
        </top>
        <bottom style="thin">
          <color indexed="64"/>
        </bottom>
      </border>
      <protection locked="1" hidden="1"/>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fill>
        <patternFill>
          <fgColor indexed="64"/>
          <bgColor theme="0"/>
        </patternFill>
      </fill>
      <alignment horizontal="center" vertical="center" textRotation="0" wrapText="0" indent="0" justifyLastLine="0" shrinkToFit="0" readingOrder="0"/>
      <protection locked="1" hidden="1"/>
    </dxf>
    <dxf>
      <border>
        <bottom style="thin">
          <color indexed="64"/>
        </bottom>
      </border>
    </dxf>
    <dxf>
      <font>
        <b/>
        <i val="0"/>
        <strike val="0"/>
        <condense val="0"/>
        <extend val="0"/>
        <outline val="0"/>
        <shadow val="0"/>
        <u val="none"/>
        <vertAlign val="baseline"/>
        <sz val="14"/>
        <color theme="0"/>
        <name val="Calibri"/>
        <family val="2"/>
        <scheme val="minor"/>
      </font>
      <fill>
        <patternFill patternType="solid">
          <fgColor indexed="64"/>
          <bgColor rgb="FF1E3A8A"/>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0" hidden="0"/>
    </dxf>
    <dxf>
      <font>
        <b/>
        <i val="0"/>
        <strike val="0"/>
        <color theme="0"/>
      </font>
      <fill>
        <patternFill>
          <bgColor rgb="FFFF3F3F"/>
        </patternFill>
      </fill>
    </dxf>
    <dxf>
      <fill>
        <patternFill>
          <bgColor theme="9" tint="-0.24994659260841701"/>
        </patternFill>
      </fill>
    </dxf>
    <dxf>
      <fill>
        <patternFill>
          <bgColor rgb="FFFFC7CE"/>
        </patternFill>
      </fill>
    </dxf>
    <dxf>
      <fill>
        <patternFill>
          <bgColor theme="5" tint="0.59996337778862885"/>
        </patternFill>
      </fill>
    </dxf>
    <dxf>
      <font>
        <color rgb="FF006100"/>
      </font>
      <fill>
        <patternFill>
          <bgColor rgb="FFC6EFCE"/>
        </patternFill>
      </fill>
    </dxf>
    <dxf>
      <font>
        <color rgb="FF9C0006"/>
      </font>
      <fill>
        <patternFill>
          <bgColor rgb="FFFFC7CE"/>
        </patternFill>
      </fill>
    </dxf>
    <dxf>
      <fill>
        <patternFill>
          <bgColor theme="2"/>
        </patternFill>
      </fill>
    </dxf>
    <dxf>
      <fill>
        <patternFill>
          <bgColor rgb="FFFF2D2D"/>
        </patternFill>
      </fill>
    </dxf>
    <dxf>
      <fill>
        <patternFill>
          <bgColor theme="9" tint="0.39994506668294322"/>
        </patternFill>
      </fill>
    </dxf>
    <dxf>
      <fill>
        <patternFill patternType="none">
          <bgColor auto="1"/>
        </patternFill>
      </fill>
    </dxf>
  </dxfs>
  <tableStyles count="0" defaultTableStyle="TableStyleMedium2" defaultPivotStyle="PivotStyleLight16"/>
  <colors>
    <mruColors>
      <color rgb="FFFFC301"/>
      <color rgb="FFF2F2F2"/>
      <color rgb="FFD2A000"/>
      <color rgb="FF1E3A8A"/>
      <color rgb="FF007033"/>
      <color rgb="FF005C4D"/>
      <color rgb="FFEEEE12"/>
      <color rgb="FFE6AF00"/>
      <color rgb="FFFF3737"/>
      <color rgb="FFFF3F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Annual Income</a:t>
            </a:r>
            <a:r>
              <a:rPr lang="en-US" b="1" baseline="0">
                <a:solidFill>
                  <a:schemeClr val="bg1"/>
                </a:solidFill>
              </a:rPr>
              <a:t> Vs Expenses</a:t>
            </a:r>
            <a:endParaRPr lang="en-US" b="1">
              <a:solidFill>
                <a:schemeClr val="bg1"/>
              </a:solidFill>
            </a:endParaRPr>
          </a:p>
        </c:rich>
      </c:tx>
      <c:overlay val="0"/>
      <c:spPr>
        <a:solidFill>
          <a:srgbClr val="1E3A8A"/>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pieChart>
        <c:varyColors val="1"/>
        <c:ser>
          <c:idx val="0"/>
          <c:order val="0"/>
          <c:tx>
            <c:strRef>
              <c:f>Dashboard!$C$1</c:f>
              <c:strCache>
                <c:ptCount val="1"/>
              </c:strCache>
            </c:strRef>
          </c:tx>
          <c:spPr>
            <a:solidFill>
              <a:srgbClr val="E35D4F"/>
            </a:solidFill>
            <a:ln>
              <a:solidFill>
                <a:srgbClr val="000000">
                  <a:alpha val="0"/>
                </a:srgbClr>
              </a:solidFill>
            </a:ln>
          </c:spPr>
          <c:dPt>
            <c:idx val="0"/>
            <c:bubble3D val="0"/>
            <c:spPr>
              <a:solidFill>
                <a:srgbClr val="1E3A8A"/>
              </a:solidFill>
              <a:ln w="19050">
                <a:solidFill>
                  <a:srgbClr val="000000">
                    <a:alpha val="0"/>
                  </a:srgbClr>
                </a:solidFill>
              </a:ln>
              <a:effectLst/>
            </c:spPr>
            <c:extLst>
              <c:ext xmlns:c16="http://schemas.microsoft.com/office/drawing/2014/chart" uri="{C3380CC4-5D6E-409C-BE32-E72D297353CC}">
                <c16:uniqueId val="{00000002-104A-4D50-9251-AA997796322B}"/>
              </c:ext>
            </c:extLst>
          </c:dPt>
          <c:dPt>
            <c:idx val="1"/>
            <c:bubble3D val="0"/>
            <c:spPr>
              <a:solidFill>
                <a:srgbClr val="FFC000"/>
              </a:solidFill>
              <a:ln w="19050">
                <a:solidFill>
                  <a:srgbClr val="000000">
                    <a:alpha val="0"/>
                  </a:srgbClr>
                </a:solidFill>
              </a:ln>
              <a:effectLst/>
            </c:spPr>
            <c:extLst>
              <c:ext xmlns:c16="http://schemas.microsoft.com/office/drawing/2014/chart" uri="{C3380CC4-5D6E-409C-BE32-E72D297353CC}">
                <c16:uniqueId val="{00000004-104A-4D50-9251-AA997796322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Dashboard!$B$2:$B$3</c:f>
              <c:strCache>
                <c:ptCount val="2"/>
                <c:pt idx="0">
                  <c:v>Income Summary</c:v>
                </c:pt>
                <c:pt idx="1">
                  <c:v>Expense Summary</c:v>
                </c:pt>
              </c:strCache>
            </c:strRef>
          </c:cat>
          <c:val>
            <c:numRef>
              <c:f>Dashboard!$C$2:$C$3</c:f>
              <c:numCache>
                <c:formatCode>_([$$-409]* #,##0.00_);_([$$-409]* \(#,##0.00\);_([$$-409]* "-"??_);_(@_)</c:formatCode>
                <c:ptCount val="2"/>
                <c:pt idx="0">
                  <c:v>14500</c:v>
                </c:pt>
                <c:pt idx="1">
                  <c:v>22800</c:v>
                </c:pt>
              </c:numCache>
            </c:numRef>
          </c:val>
          <c:extLst>
            <c:ext xmlns:c16="http://schemas.microsoft.com/office/drawing/2014/chart" uri="{C3380CC4-5D6E-409C-BE32-E72D297353CC}">
              <c16:uniqueId val="{00000000-104A-4D50-9251-AA997796322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Monthly</a:t>
            </a:r>
            <a:r>
              <a:rPr lang="en-US" b="1" baseline="0">
                <a:solidFill>
                  <a:schemeClr val="bg1"/>
                </a:solidFill>
              </a:rPr>
              <a:t> Income Vs Expenses</a:t>
            </a:r>
            <a:endParaRPr lang="en-US" b="1">
              <a:solidFill>
                <a:schemeClr val="bg1"/>
              </a:solidFill>
            </a:endParaRPr>
          </a:p>
        </c:rich>
      </c:tx>
      <c:overlay val="0"/>
      <c:spPr>
        <a:solidFill>
          <a:srgbClr val="1E3A8A"/>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tx>
            <c:strRef>
              <c:f>'Annual Summary'!$C$8</c:f>
              <c:strCache>
                <c:ptCount val="1"/>
                <c:pt idx="0">
                  <c:v>Actual Income</c:v>
                </c:pt>
              </c:strCache>
            </c:strRef>
          </c:tx>
          <c:spPr>
            <a:solidFill>
              <a:schemeClr val="accent1"/>
            </a:solidFill>
            <a:ln>
              <a:noFill/>
            </a:ln>
            <a:effectLst/>
          </c:spPr>
          <c:invertIfNegative val="0"/>
          <c:cat>
            <c:strRef>
              <c:f>'Annual Summary'!$B$9:$B$20</c:f>
              <c:strCache>
                <c:ptCount val="1"/>
                <c:pt idx="0">
                  <c:v>November</c:v>
                </c:pt>
              </c:strCache>
            </c:strRef>
          </c:cat>
          <c:val>
            <c:numRef>
              <c:f>'Annual Summary'!$C$9:$C$20</c:f>
              <c:numCache>
                <c:formatCode>_("$"* #,##0.00_);_("$"* \(#,##0.00\);_("$"* "-"??_);_(@_)</c:formatCode>
                <c:ptCount val="12"/>
                <c:pt idx="0">
                  <c:v>14500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5391-4D8A-8060-725C7B43CEF0}"/>
            </c:ext>
          </c:extLst>
        </c:ser>
        <c:ser>
          <c:idx val="1"/>
          <c:order val="1"/>
          <c:tx>
            <c:strRef>
              <c:f>'Annual Summary'!$D$8</c:f>
              <c:strCache>
                <c:ptCount val="1"/>
                <c:pt idx="0">
                  <c:v>Actual Expenses</c:v>
                </c:pt>
              </c:strCache>
            </c:strRef>
          </c:tx>
          <c:spPr>
            <a:solidFill>
              <a:schemeClr val="accent2"/>
            </a:solidFill>
            <a:ln>
              <a:noFill/>
            </a:ln>
            <a:effectLst/>
          </c:spPr>
          <c:invertIfNegative val="0"/>
          <c:cat>
            <c:strRef>
              <c:f>'Annual Summary'!$B$9:$B$20</c:f>
              <c:strCache>
                <c:ptCount val="1"/>
                <c:pt idx="0">
                  <c:v>November</c:v>
                </c:pt>
              </c:strCache>
            </c:strRef>
          </c:cat>
          <c:val>
            <c:numRef>
              <c:f>'Annual Summary'!$D$9:$D$20</c:f>
              <c:numCache>
                <c:formatCode>_("$"* #,##0.00_);_("$"* \(#,##0.00\);_("$"* "-"??_);_(@_)</c:formatCode>
                <c:ptCount val="12"/>
                <c:pt idx="0">
                  <c:v>22800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5391-4D8A-8060-725C7B43CEF0}"/>
            </c:ext>
          </c:extLst>
        </c:ser>
        <c:dLbls>
          <c:showLegendKey val="0"/>
          <c:showVal val="0"/>
          <c:showCatName val="0"/>
          <c:showSerName val="0"/>
          <c:showPercent val="0"/>
          <c:showBubbleSize val="0"/>
        </c:dLbls>
        <c:gapWidth val="219"/>
        <c:axId val="8257632"/>
        <c:axId val="8253888"/>
      </c:barChart>
      <c:catAx>
        <c:axId val="825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1" i="0" u="none" strike="noStrike" kern="1200" baseline="0">
                <a:solidFill>
                  <a:sysClr val="windowText" lastClr="000000"/>
                </a:solidFill>
                <a:latin typeface="+mn-lt"/>
                <a:ea typeface="+mn-ea"/>
                <a:cs typeface="+mn-cs"/>
              </a:defRPr>
            </a:pPr>
            <a:endParaRPr lang="en-US"/>
          </a:p>
        </c:txPr>
        <c:crossAx val="8253888"/>
        <c:crosses val="autoZero"/>
        <c:auto val="1"/>
        <c:lblAlgn val="ctr"/>
        <c:lblOffset val="100"/>
        <c:noMultiLvlLbl val="0"/>
      </c:catAx>
      <c:valAx>
        <c:axId val="8253888"/>
        <c:scaling>
          <c:orientation val="minMax"/>
        </c:scaling>
        <c:delete val="0"/>
        <c:axPos val="l"/>
        <c:majorGridlines>
          <c:spPr>
            <a:ln w="6350" cap="flat" cmpd="sng" algn="ctr">
              <a:solidFill>
                <a:schemeClr val="dk1"/>
              </a:solidFill>
              <a:prstDash val="solid"/>
              <a:miter lim="800000"/>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257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[Expense_Income_Tracker_Template.xlsx]PT Expense&amp;Bill Distribution!PivotTable3</c:name>
    <c:fmtId val="6"/>
  </c:pivotSource>
  <c:chart>
    <c:title>
      <c:tx>
        <c:rich>
          <a:bodyPr rot="0" spcFirstLastPara="1" vertOverflow="ellipsis" vert="horz" wrap="square" anchor="ctr" anchorCtr="1"/>
          <a:lstStyle/>
          <a:p>
            <a:pPr>
              <a:defRPr sz="14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1400">
                <a:solidFill>
                  <a:schemeClr val="bg1"/>
                </a:solidFill>
              </a:rPr>
              <a:t>Expense</a:t>
            </a:r>
            <a:r>
              <a:rPr lang="en-US" sz="1400" baseline="0">
                <a:solidFill>
                  <a:schemeClr val="bg1"/>
                </a:solidFill>
              </a:rPr>
              <a:t> Distribution by Category</a:t>
            </a:r>
            <a:endParaRPr lang="en-US" sz="1400">
              <a:solidFill>
                <a:schemeClr val="bg1"/>
              </a:solidFill>
            </a:endParaRPr>
          </a:p>
        </c:rich>
      </c:tx>
      <c:overlay val="0"/>
      <c:spPr>
        <a:solidFill>
          <a:srgbClr val="1E3A8A"/>
        </a:solidFill>
        <a:ln>
          <a:noFill/>
        </a:ln>
        <a:effectLst/>
      </c:spPr>
      <c:txPr>
        <a:bodyPr rot="0" spcFirstLastPara="1" vertOverflow="ellipsis" vert="horz" wrap="square" anchor="ctr" anchorCtr="1"/>
        <a:lstStyle/>
        <a:p>
          <a:pPr>
            <a:defRPr sz="14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57150" dist="19050" dir="5400000" algn="ctr" rotWithShape="0">
              <a:srgbClr val="000000">
                <a:alpha val="63000"/>
              </a:srgbClr>
            </a:outerShdw>
          </a:effectLst>
        </c:spPr>
      </c:pivotFmt>
      <c:pivotFmt>
        <c:idx val="2"/>
        <c:spPr>
          <a:solidFill>
            <a:srgbClr val="FFC000"/>
          </a:solidFill>
          <a:ln>
            <a:noFill/>
          </a:ln>
          <a:effectLst>
            <a:outerShdw blurRad="57150" dist="19050" dir="5400000" algn="ctr" rotWithShape="0">
              <a:srgbClr val="000000">
                <a:alpha val="63000"/>
              </a:srgbClr>
            </a:outerShdw>
          </a:effectLst>
        </c:spPr>
      </c:pivotFmt>
      <c:pivotFmt>
        <c:idx val="3"/>
        <c:spPr>
          <a:solidFill>
            <a:srgbClr val="00B050"/>
          </a:soli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solidFill>
            <a:srgbClr val="FFC000"/>
          </a:solidFill>
          <a:ln>
            <a:noFill/>
          </a:ln>
          <a:effectLst>
            <a:outerShdw blurRad="57150" dist="19050" dir="5400000" algn="ctr" rotWithShape="0">
              <a:srgbClr val="000000">
                <a:alpha val="63000"/>
              </a:srgbClr>
            </a:outerShdw>
          </a:effectLst>
        </c:spPr>
      </c:pivotFmt>
      <c:pivotFmt>
        <c:idx val="7"/>
        <c:spPr>
          <a:solidFill>
            <a:schemeClr val="accent2"/>
          </a:solidFill>
          <a:ln>
            <a:noFill/>
          </a:ln>
          <a:effectLst>
            <a:outerShdw blurRad="57150" dist="19050" dir="5400000" algn="ctr" rotWithShape="0">
              <a:srgbClr val="000000">
                <a:alpha val="63000"/>
              </a:srgbClr>
            </a:outerShdw>
          </a:effectLst>
        </c:spPr>
      </c:pivotFmt>
      <c:pivotFmt>
        <c:idx val="8"/>
        <c:spPr>
          <a:solidFill>
            <a:srgbClr val="00B050"/>
          </a:soli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solidFill>
            <a:srgbClr val="FFC000"/>
          </a:solidFill>
          <a:ln>
            <a:noFill/>
          </a:ln>
          <a:effectLst>
            <a:outerShdw blurRad="57150" dist="19050" dir="5400000" algn="ctr" rotWithShape="0">
              <a:srgbClr val="000000">
                <a:alpha val="63000"/>
              </a:srgbClr>
            </a:outerShdw>
          </a:effectLst>
        </c:spPr>
      </c:pivotFmt>
      <c:pivotFmt>
        <c:idx val="13"/>
        <c:spPr>
          <a:solidFill>
            <a:schemeClr val="accent2"/>
          </a:solidFill>
          <a:ln>
            <a:noFill/>
          </a:ln>
          <a:effectLst>
            <a:outerShdw blurRad="57150" dist="19050" dir="5400000" algn="ctr" rotWithShape="0">
              <a:srgbClr val="000000">
                <a:alpha val="63000"/>
              </a:srgbClr>
            </a:outerShdw>
          </a:effectLst>
        </c:spPr>
      </c:pivotFmt>
      <c:pivotFmt>
        <c:idx val="14"/>
        <c:spPr>
          <a:solidFill>
            <a:srgbClr val="00B050"/>
          </a:soli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'PT Expense&amp;Bill Distribution'!$C$3</c:f>
              <c:strCache>
                <c:ptCount val="1"/>
                <c:pt idx="0">
                  <c:v>Total</c:v>
                </c:pt>
              </c:strCache>
            </c:strRef>
          </c:tx>
          <c:dPt>
            <c:idx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04A-49CA-AC63-9196DF41CB42}"/>
              </c:ext>
            </c:extLst>
          </c:dPt>
          <c:dPt>
            <c:idx val="1"/>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04A-49CA-AC63-9196DF41CB4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04A-49CA-AC63-9196DF41CB4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04A-49CA-AC63-9196DF41CB4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04A-49CA-AC63-9196DF41CB4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606-4638-ADD3-423F5707275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'PT Expense&amp;Bill Distribution'!$B$4:$B$10</c:f>
              <c:strCache>
                <c:ptCount val="6"/>
                <c:pt idx="0">
                  <c:v>Healthy_Wellness</c:v>
                </c:pt>
                <c:pt idx="1">
                  <c:v>Living_Household</c:v>
                </c:pt>
                <c:pt idx="2">
                  <c:v>(blank)</c:v>
                </c:pt>
                <c:pt idx="3">
                  <c:v>Travel</c:v>
                </c:pt>
                <c:pt idx="4">
                  <c:v>Miscellaneous_Others</c:v>
                </c:pt>
                <c:pt idx="5">
                  <c:v>Transportation</c:v>
                </c:pt>
              </c:strCache>
            </c:strRef>
          </c:cat>
          <c:val>
            <c:numRef>
              <c:f>'PT Expense&amp;Bill Distribution'!$C$4:$C$10</c:f>
              <c:numCache>
                <c:formatCode>General</c:formatCode>
                <c:ptCount val="6"/>
                <c:pt idx="0">
                  <c:v>15000</c:v>
                </c:pt>
                <c:pt idx="1">
                  <c:v>900</c:v>
                </c:pt>
                <c:pt idx="3">
                  <c:v>4500</c:v>
                </c:pt>
                <c:pt idx="4">
                  <c:v>1500</c:v>
                </c:pt>
                <c:pt idx="5">
                  <c:v>900</c:v>
                </c:pt>
              </c:numCache>
            </c:numRef>
          </c:val>
          <c:extLst>
            <c:ext xmlns:c16="http://schemas.microsoft.com/office/drawing/2014/chart" uri="{C3380CC4-5D6E-409C-BE32-E72D297353CC}">
              <c16:uniqueId val="{0000000A-004A-49CA-AC63-9196DF41CB4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1E3A8A"/>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Dropdown Lists'!A1"/><Relationship Id="rId3" Type="http://schemas.openxmlformats.org/officeDocument/2006/relationships/chart" Target="../charts/chart3.xml"/><Relationship Id="rId7" Type="http://schemas.openxmlformats.org/officeDocument/2006/relationships/hyperlink" Target="#'PT Expense&amp;Bill Distribution'!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Income Tracker'!A1"/><Relationship Id="rId5" Type="http://schemas.openxmlformats.org/officeDocument/2006/relationships/hyperlink" Target="#'Expenses Tracker'!A1"/><Relationship Id="rId4" Type="http://schemas.openxmlformats.org/officeDocument/2006/relationships/hyperlink" Target="#'Annual Summary'!A1"/></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1035050</xdr:colOff>
      <xdr:row>6</xdr:row>
      <xdr:rowOff>88900</xdr:rowOff>
    </xdr:from>
    <xdr:to>
      <xdr:col>2</xdr:col>
      <xdr:colOff>1625600</xdr:colOff>
      <xdr:row>16</xdr:row>
      <xdr:rowOff>82550</xdr:rowOff>
    </xdr:to>
    <xdr:graphicFrame macro="">
      <xdr:nvGraphicFramePr>
        <xdr:cNvPr id="2" name="Chart 1">
          <a:extLst>
            <a:ext uri="{FF2B5EF4-FFF2-40B4-BE49-F238E27FC236}">
              <a16:creationId xmlns:a16="http://schemas.microsoft.com/office/drawing/2014/main" id="{35BCB3CC-7954-4F95-AB81-A42EA7C467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1562100</xdr:colOff>
      <xdr:row>6</xdr:row>
      <xdr:rowOff>107950</xdr:rowOff>
    </xdr:from>
    <xdr:to>
      <xdr:col>5</xdr:col>
      <xdr:colOff>1333500</xdr:colOff>
      <xdr:row>18</xdr:row>
      <xdr:rowOff>158750</xdr:rowOff>
    </xdr:to>
    <xdr:graphicFrame macro="">
      <xdr:nvGraphicFramePr>
        <xdr:cNvPr id="3" name="Chart 2">
          <a:extLst>
            <a:ext uri="{FF2B5EF4-FFF2-40B4-BE49-F238E27FC236}">
              <a16:creationId xmlns:a16="http://schemas.microsoft.com/office/drawing/2014/main" id="{4BD3166A-8AE4-48F4-80B6-2D15FFC71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1397000</xdr:colOff>
      <xdr:row>6</xdr:row>
      <xdr:rowOff>139700</xdr:rowOff>
    </xdr:from>
    <xdr:to>
      <xdr:col>8</xdr:col>
      <xdr:colOff>704850</xdr:colOff>
      <xdr:row>17</xdr:row>
      <xdr:rowOff>184150</xdr:rowOff>
    </xdr:to>
    <xdr:graphicFrame macro="">
      <xdr:nvGraphicFramePr>
        <xdr:cNvPr id="9" name="Chart 8">
          <a:extLst>
            <a:ext uri="{FF2B5EF4-FFF2-40B4-BE49-F238E27FC236}">
              <a16:creationId xmlns:a16="http://schemas.microsoft.com/office/drawing/2014/main" id="{A1EC23A4-A23F-4858-A580-B17D5227C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196850</xdr:colOff>
      <xdr:row>2</xdr:row>
      <xdr:rowOff>203200</xdr:rowOff>
    </xdr:from>
    <xdr:to>
      <xdr:col>8</xdr:col>
      <xdr:colOff>374650</xdr:colOff>
      <xdr:row>5</xdr:row>
      <xdr:rowOff>0</xdr:rowOff>
    </xdr:to>
    <mc:AlternateContent xmlns:mc="http://schemas.openxmlformats.org/markup-compatibility/2006" xmlns:a14="http://schemas.microsoft.com/office/drawing/2010/main">
      <mc:Choice Requires="a14">
        <xdr:graphicFrame macro="">
          <xdr:nvGraphicFramePr>
            <xdr:cNvPr id="13" name="Month 1">
              <a:extLst>
                <a:ext uri="{FF2B5EF4-FFF2-40B4-BE49-F238E27FC236}">
                  <a16:creationId xmlns:a16="http://schemas.microsoft.com/office/drawing/2014/main" id="{BA4DFA1F-6499-4A12-8A54-E3166151BEE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8775700" y="749300"/>
              <a:ext cx="3111500" cy="596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63500</xdr:colOff>
      <xdr:row>0</xdr:row>
      <xdr:rowOff>38100</xdr:rowOff>
    </xdr:from>
    <xdr:to>
      <xdr:col>0</xdr:col>
      <xdr:colOff>1016000</xdr:colOff>
      <xdr:row>3</xdr:row>
      <xdr:rowOff>31750</xdr:rowOff>
    </xdr:to>
    <xdr:sp macro="" textlink="">
      <xdr:nvSpPr>
        <xdr:cNvPr id="4" name="Arrow: Right 3">
          <a:hlinkClick xmlns:r="http://schemas.openxmlformats.org/officeDocument/2006/relationships" r:id="rId4"/>
          <a:extLst>
            <a:ext uri="{FF2B5EF4-FFF2-40B4-BE49-F238E27FC236}">
              <a16:creationId xmlns:a16="http://schemas.microsoft.com/office/drawing/2014/main" id="{F9CC3E20-A7CA-4E5C-9162-B9E6C45F0473}"/>
            </a:ext>
          </a:extLst>
        </xdr:cNvPr>
        <xdr:cNvSpPr/>
      </xdr:nvSpPr>
      <xdr:spPr>
        <a:xfrm>
          <a:off x="63500" y="38100"/>
          <a:ext cx="952500" cy="806450"/>
        </a:xfrm>
        <a:prstGeom prst="rightArrow">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t>Annual</a:t>
          </a:r>
          <a:r>
            <a:rPr lang="en-US" sz="1000" b="1" baseline="0"/>
            <a:t> Summary</a:t>
          </a:r>
          <a:endParaRPr lang="en-US" sz="1100" b="1"/>
        </a:p>
      </xdr:txBody>
    </xdr:sp>
    <xdr:clientData/>
  </xdr:twoCellAnchor>
  <xdr:twoCellAnchor>
    <xdr:from>
      <xdr:col>0</xdr:col>
      <xdr:colOff>63500</xdr:colOff>
      <xdr:row>2</xdr:row>
      <xdr:rowOff>120650</xdr:rowOff>
    </xdr:from>
    <xdr:to>
      <xdr:col>0</xdr:col>
      <xdr:colOff>1016000</xdr:colOff>
      <xdr:row>5</xdr:row>
      <xdr:rowOff>127000</xdr:rowOff>
    </xdr:to>
    <xdr:sp macro="" textlink="">
      <xdr:nvSpPr>
        <xdr:cNvPr id="11" name="Arrow: Right 10">
          <a:hlinkClick xmlns:r="http://schemas.openxmlformats.org/officeDocument/2006/relationships" r:id="rId5"/>
          <a:extLst>
            <a:ext uri="{FF2B5EF4-FFF2-40B4-BE49-F238E27FC236}">
              <a16:creationId xmlns:a16="http://schemas.microsoft.com/office/drawing/2014/main" id="{C36FBA38-C820-453D-AE6F-033BEBC32891}"/>
            </a:ext>
          </a:extLst>
        </xdr:cNvPr>
        <xdr:cNvSpPr/>
      </xdr:nvSpPr>
      <xdr:spPr>
        <a:xfrm>
          <a:off x="63500" y="666750"/>
          <a:ext cx="952500" cy="806450"/>
        </a:xfrm>
        <a:prstGeom prst="rightArrow">
          <a:avLst/>
        </a:prstGeom>
        <a:solidFill>
          <a:srgbClr val="FFC30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t>Expenses</a:t>
          </a:r>
          <a:r>
            <a:rPr lang="en-US" sz="1000" b="1" baseline="0"/>
            <a:t> Tracker</a:t>
          </a:r>
          <a:endParaRPr lang="en-US" sz="1100" b="1"/>
        </a:p>
      </xdr:txBody>
    </xdr:sp>
    <xdr:clientData/>
  </xdr:twoCellAnchor>
  <xdr:twoCellAnchor>
    <xdr:from>
      <xdr:col>0</xdr:col>
      <xdr:colOff>63500</xdr:colOff>
      <xdr:row>4</xdr:row>
      <xdr:rowOff>215900</xdr:rowOff>
    </xdr:from>
    <xdr:to>
      <xdr:col>0</xdr:col>
      <xdr:colOff>1016000</xdr:colOff>
      <xdr:row>8</xdr:row>
      <xdr:rowOff>88900</xdr:rowOff>
    </xdr:to>
    <xdr:sp macro="" textlink="">
      <xdr:nvSpPr>
        <xdr:cNvPr id="12" name="Arrow: Right 11">
          <a:hlinkClick xmlns:r="http://schemas.openxmlformats.org/officeDocument/2006/relationships" r:id="rId6"/>
          <a:extLst>
            <a:ext uri="{FF2B5EF4-FFF2-40B4-BE49-F238E27FC236}">
              <a16:creationId xmlns:a16="http://schemas.microsoft.com/office/drawing/2014/main" id="{67E193B3-B89E-4F5B-93AD-5E78D6665627}"/>
            </a:ext>
          </a:extLst>
        </xdr:cNvPr>
        <xdr:cNvSpPr/>
      </xdr:nvSpPr>
      <xdr:spPr>
        <a:xfrm>
          <a:off x="63500" y="1295400"/>
          <a:ext cx="952500" cy="806450"/>
        </a:xfrm>
        <a:prstGeom prst="rightArrow">
          <a:avLst/>
        </a:prstGeom>
        <a:solidFill>
          <a:srgbClr val="1E3A8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baseline="0"/>
            <a:t>Income Tracker</a:t>
          </a:r>
          <a:endParaRPr lang="en-US" sz="1100" b="1"/>
        </a:p>
      </xdr:txBody>
    </xdr:sp>
    <xdr:clientData/>
  </xdr:twoCellAnchor>
  <xdr:twoCellAnchor>
    <xdr:from>
      <xdr:col>0</xdr:col>
      <xdr:colOff>57150</xdr:colOff>
      <xdr:row>8</xdr:row>
      <xdr:rowOff>38100</xdr:rowOff>
    </xdr:from>
    <xdr:to>
      <xdr:col>0</xdr:col>
      <xdr:colOff>1009650</xdr:colOff>
      <xdr:row>12</xdr:row>
      <xdr:rowOff>57150</xdr:rowOff>
    </xdr:to>
    <xdr:sp macro="" textlink="">
      <xdr:nvSpPr>
        <xdr:cNvPr id="16" name="Arrow: Right 15">
          <a:hlinkClick xmlns:r="http://schemas.openxmlformats.org/officeDocument/2006/relationships" r:id="rId7"/>
          <a:extLst>
            <a:ext uri="{FF2B5EF4-FFF2-40B4-BE49-F238E27FC236}">
              <a16:creationId xmlns:a16="http://schemas.microsoft.com/office/drawing/2014/main" id="{7FAB75F7-0F75-4F6E-AD4A-C115505CC9AF}"/>
            </a:ext>
          </a:extLst>
        </xdr:cNvPr>
        <xdr:cNvSpPr/>
      </xdr:nvSpPr>
      <xdr:spPr>
        <a:xfrm>
          <a:off x="57150" y="2051050"/>
          <a:ext cx="952500" cy="806450"/>
        </a:xfrm>
        <a:prstGeom prst="rightArrow">
          <a:avLst/>
        </a:prstGeom>
        <a:solidFill>
          <a:srgbClr val="D2A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800" b="1" baseline="0"/>
            <a:t>PT Expense&amp;Bill</a:t>
          </a:r>
          <a:endParaRPr lang="en-US" sz="800" b="1"/>
        </a:p>
      </xdr:txBody>
    </xdr:sp>
    <xdr:clientData/>
  </xdr:twoCellAnchor>
  <xdr:twoCellAnchor>
    <xdr:from>
      <xdr:col>0</xdr:col>
      <xdr:colOff>57150</xdr:colOff>
      <xdr:row>11</xdr:row>
      <xdr:rowOff>88900</xdr:rowOff>
    </xdr:from>
    <xdr:to>
      <xdr:col>0</xdr:col>
      <xdr:colOff>1009650</xdr:colOff>
      <xdr:row>15</xdr:row>
      <xdr:rowOff>107950</xdr:rowOff>
    </xdr:to>
    <xdr:sp macro="" textlink="">
      <xdr:nvSpPr>
        <xdr:cNvPr id="17" name="Arrow: Right 16">
          <a:hlinkClick xmlns:r="http://schemas.openxmlformats.org/officeDocument/2006/relationships" r:id="rId8"/>
          <a:extLst>
            <a:ext uri="{FF2B5EF4-FFF2-40B4-BE49-F238E27FC236}">
              <a16:creationId xmlns:a16="http://schemas.microsoft.com/office/drawing/2014/main" id="{7CB65E88-8269-492F-B24D-093240A5281C}"/>
            </a:ext>
          </a:extLst>
        </xdr:cNvPr>
        <xdr:cNvSpPr/>
      </xdr:nvSpPr>
      <xdr:spPr>
        <a:xfrm>
          <a:off x="57150" y="2692400"/>
          <a:ext cx="952500" cy="806450"/>
        </a:xfrm>
        <a:prstGeom prst="rightArrow">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baseline="0"/>
            <a:t>Dropdown Lists</a:t>
          </a:r>
          <a:endParaRPr lang="en-US" sz="11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55563</xdr:colOff>
      <xdr:row>0</xdr:row>
      <xdr:rowOff>254000</xdr:rowOff>
    </xdr:from>
    <xdr:to>
      <xdr:col>0</xdr:col>
      <xdr:colOff>1150938</xdr:colOff>
      <xdr:row>4</xdr:row>
      <xdr:rowOff>119063</xdr:rowOff>
    </xdr:to>
    <xdr:sp macro="" textlink="">
      <xdr:nvSpPr>
        <xdr:cNvPr id="3" name="Arrow: Left 2">
          <a:hlinkClick xmlns:r="http://schemas.openxmlformats.org/officeDocument/2006/relationships" r:id="rId1"/>
          <a:extLst>
            <a:ext uri="{FF2B5EF4-FFF2-40B4-BE49-F238E27FC236}">
              <a16:creationId xmlns:a16="http://schemas.microsoft.com/office/drawing/2014/main" id="{26F8C97B-C6B4-4088-9238-C867F4C7B3E7}"/>
            </a:ext>
          </a:extLst>
        </xdr:cNvPr>
        <xdr:cNvSpPr/>
      </xdr:nvSpPr>
      <xdr:spPr>
        <a:xfrm>
          <a:off x="55563" y="254000"/>
          <a:ext cx="1095375" cy="976313"/>
        </a:xfrm>
        <a:prstGeom prst="leftArrow">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Back to 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50800</xdr:colOff>
      <xdr:row>0</xdr:row>
      <xdr:rowOff>0</xdr:rowOff>
    </xdr:from>
    <xdr:to>
      <xdr:col>0</xdr:col>
      <xdr:colOff>1047749</xdr:colOff>
      <xdr:row>4</xdr:row>
      <xdr:rowOff>55563</xdr:rowOff>
    </xdr:to>
    <xdr:sp macro="" textlink="">
      <xdr:nvSpPr>
        <xdr:cNvPr id="9" name="Arrow: Left 8">
          <a:hlinkClick xmlns:r="http://schemas.openxmlformats.org/officeDocument/2006/relationships" r:id="rId1"/>
          <a:extLst>
            <a:ext uri="{FF2B5EF4-FFF2-40B4-BE49-F238E27FC236}">
              <a16:creationId xmlns:a16="http://schemas.microsoft.com/office/drawing/2014/main" id="{FDE98E34-0A53-4C3D-A20F-57D9A76851EB}"/>
            </a:ext>
          </a:extLst>
        </xdr:cNvPr>
        <xdr:cNvSpPr/>
      </xdr:nvSpPr>
      <xdr:spPr>
        <a:xfrm>
          <a:off x="50800" y="0"/>
          <a:ext cx="996949" cy="842963"/>
        </a:xfrm>
        <a:prstGeom prst="leftArrow">
          <a:avLst/>
        </a:prstGeom>
        <a:solidFill>
          <a:srgbClr val="4472C4"/>
        </a:solidFill>
        <a:ln w="12700" cap="flat" cmpd="sng" algn="ctr">
          <a:no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000" b="1" i="0" u="none" strike="noStrike" kern="0" cap="none" spc="0" normalizeH="0" baseline="0" noProof="0">
              <a:ln>
                <a:noFill/>
              </a:ln>
              <a:solidFill>
                <a:sysClr val="window" lastClr="FFFFFF"/>
              </a:solidFill>
              <a:effectLst/>
              <a:uLnTx/>
              <a:uFillTx/>
              <a:latin typeface="Calibri" panose="020F0502020204030204"/>
              <a:ea typeface="+mn-ea"/>
              <a:cs typeface="+mn-cs"/>
            </a:rPr>
            <a:t>Back to Dashboard</a:t>
          </a: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76200</xdr:colOff>
      <xdr:row>0</xdr:row>
      <xdr:rowOff>0</xdr:rowOff>
    </xdr:from>
    <xdr:to>
      <xdr:col>0</xdr:col>
      <xdr:colOff>1073149</xdr:colOff>
      <xdr:row>4</xdr:row>
      <xdr:rowOff>95250</xdr:rowOff>
    </xdr:to>
    <xdr:sp macro="" textlink="">
      <xdr:nvSpPr>
        <xdr:cNvPr id="9" name="Arrow: Left 8">
          <a:hlinkClick xmlns:r="http://schemas.openxmlformats.org/officeDocument/2006/relationships" r:id="rId1"/>
          <a:extLst>
            <a:ext uri="{FF2B5EF4-FFF2-40B4-BE49-F238E27FC236}">
              <a16:creationId xmlns:a16="http://schemas.microsoft.com/office/drawing/2014/main" id="{CAF49E8A-D5C6-42C9-A2D2-F25C1CED7517}"/>
            </a:ext>
          </a:extLst>
        </xdr:cNvPr>
        <xdr:cNvSpPr/>
      </xdr:nvSpPr>
      <xdr:spPr>
        <a:xfrm>
          <a:off x="76200" y="0"/>
          <a:ext cx="996949" cy="882650"/>
        </a:xfrm>
        <a:prstGeom prst="leftArrow">
          <a:avLst/>
        </a:prstGeom>
        <a:solidFill>
          <a:srgbClr val="4472C4"/>
        </a:solidFill>
        <a:ln w="12700" cap="flat" cmpd="sng" algn="ctr">
          <a:no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000" b="1" i="0" u="none" strike="noStrike" kern="0" cap="none" spc="0" normalizeH="0" baseline="0" noProof="0">
              <a:ln>
                <a:noFill/>
              </a:ln>
              <a:solidFill>
                <a:sysClr val="window" lastClr="FFFFFF"/>
              </a:solidFill>
              <a:effectLst/>
              <a:uLnTx/>
              <a:uFillTx/>
              <a:latin typeface="Calibri" panose="020F0502020204030204"/>
              <a:ea typeface="+mn-ea"/>
              <a:cs typeface="+mn-cs"/>
            </a:rPr>
            <a:t>Back to Dashboard</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330200</xdr:colOff>
      <xdr:row>0</xdr:row>
      <xdr:rowOff>165101</xdr:rowOff>
    </xdr:from>
    <xdr:to>
      <xdr:col>5</xdr:col>
      <xdr:colOff>368300</xdr:colOff>
      <xdr:row>7</xdr:row>
      <xdr:rowOff>44450</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F4D79A2D-E23F-4CDA-9CA2-8170BF18039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086100" y="165101"/>
              <a:ext cx="1257300" cy="1168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330200</xdr:colOff>
      <xdr:row>0</xdr:row>
      <xdr:rowOff>158751</xdr:rowOff>
    </xdr:from>
    <xdr:to>
      <xdr:col>11</xdr:col>
      <xdr:colOff>355600</xdr:colOff>
      <xdr:row>9</xdr:row>
      <xdr:rowOff>25401</xdr:rowOff>
    </xdr:to>
    <mc:AlternateContent xmlns:mc="http://schemas.openxmlformats.org/markup-compatibility/2006" xmlns:a14="http://schemas.microsoft.com/office/drawing/2010/main">
      <mc:Choice Requires="a14">
        <xdr:graphicFrame macro="">
          <xdr:nvGraphicFramePr>
            <xdr:cNvPr id="3" name="Frequency">
              <a:extLst>
                <a:ext uri="{FF2B5EF4-FFF2-40B4-BE49-F238E27FC236}">
                  <a16:creationId xmlns:a16="http://schemas.microsoft.com/office/drawing/2014/main" id="{37D30F15-DB75-445E-9178-802B1F1F6EB9}"/>
                </a:ext>
              </a:extLst>
            </xdr:cNvPr>
            <xdr:cNvGraphicFramePr/>
          </xdr:nvGraphicFramePr>
          <xdr:xfrm>
            <a:off x="0" y="0"/>
            <a:ext cx="0" cy="0"/>
          </xdr:xfrm>
          <a:graphic>
            <a:graphicData uri="http://schemas.microsoft.com/office/drawing/2010/slicer">
              <sle:slicer xmlns:sle="http://schemas.microsoft.com/office/drawing/2010/slicer" name="Frequency"/>
            </a:graphicData>
          </a:graphic>
        </xdr:graphicFrame>
      </mc:Choice>
      <mc:Fallback xmlns="">
        <xdr:sp macro="" textlink="">
          <xdr:nvSpPr>
            <xdr:cNvPr id="0" name=""/>
            <xdr:cNvSpPr>
              <a:spLocks noTextEdit="1"/>
            </xdr:cNvSpPr>
          </xdr:nvSpPr>
          <xdr:spPr>
            <a:xfrm>
              <a:off x="8039100" y="158751"/>
              <a:ext cx="18288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6351</xdr:colOff>
      <xdr:row>0</xdr:row>
      <xdr:rowOff>127000</xdr:rowOff>
    </xdr:from>
    <xdr:to>
      <xdr:col>0</xdr:col>
      <xdr:colOff>965201</xdr:colOff>
      <xdr:row>5</xdr:row>
      <xdr:rowOff>68263</xdr:rowOff>
    </xdr:to>
    <xdr:sp macro="" textlink="">
      <xdr:nvSpPr>
        <xdr:cNvPr id="8" name="Arrow: Left 7">
          <a:hlinkClick xmlns:r="http://schemas.openxmlformats.org/officeDocument/2006/relationships" r:id="rId1"/>
          <a:extLst>
            <a:ext uri="{FF2B5EF4-FFF2-40B4-BE49-F238E27FC236}">
              <a16:creationId xmlns:a16="http://schemas.microsoft.com/office/drawing/2014/main" id="{0C54A3E9-9789-48D8-84AF-8845EAEA4CD1}"/>
            </a:ext>
          </a:extLst>
        </xdr:cNvPr>
        <xdr:cNvSpPr/>
      </xdr:nvSpPr>
      <xdr:spPr>
        <a:xfrm>
          <a:off x="6351" y="127000"/>
          <a:ext cx="958850" cy="862013"/>
        </a:xfrm>
        <a:prstGeom prst="leftArrow">
          <a:avLst/>
        </a:prstGeom>
        <a:solidFill>
          <a:srgbClr val="4472C4"/>
        </a:solidFill>
        <a:ln w="12700" cap="flat" cmpd="sng" algn="ctr">
          <a:no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900" b="1" i="0" u="none" strike="noStrike" kern="0" cap="none" spc="0" normalizeH="0" baseline="0" noProof="0">
              <a:ln>
                <a:noFill/>
              </a:ln>
              <a:solidFill>
                <a:sysClr val="window" lastClr="FFFFFF"/>
              </a:solidFill>
              <a:effectLst/>
              <a:uLnTx/>
              <a:uFillTx/>
              <a:latin typeface="Calibri" panose="020F0502020204030204"/>
              <a:ea typeface="+mn-ea"/>
              <a:cs typeface="+mn-cs"/>
            </a:rPr>
            <a:t>Back to Dashboard</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723900</xdr:colOff>
      <xdr:row>0</xdr:row>
      <xdr:rowOff>1</xdr:rowOff>
    </xdr:from>
    <xdr:to>
      <xdr:col>1</xdr:col>
      <xdr:colOff>1720849</xdr:colOff>
      <xdr:row>0</xdr:row>
      <xdr:rowOff>304801</xdr:rowOff>
    </xdr:to>
    <xdr:sp macro="" textlink="">
      <xdr:nvSpPr>
        <xdr:cNvPr id="5" name="Arrow: Left 4">
          <a:hlinkClick xmlns:r="http://schemas.openxmlformats.org/officeDocument/2006/relationships" r:id="rId1"/>
          <a:extLst>
            <a:ext uri="{FF2B5EF4-FFF2-40B4-BE49-F238E27FC236}">
              <a16:creationId xmlns:a16="http://schemas.microsoft.com/office/drawing/2014/main" id="{7A4EC5A2-6954-47F5-A3EA-947F2B8E84AD}"/>
            </a:ext>
          </a:extLst>
        </xdr:cNvPr>
        <xdr:cNvSpPr/>
      </xdr:nvSpPr>
      <xdr:spPr>
        <a:xfrm>
          <a:off x="2546350" y="1"/>
          <a:ext cx="996949" cy="304800"/>
        </a:xfrm>
        <a:prstGeom prst="leftArrow">
          <a:avLst/>
        </a:prstGeom>
        <a:solidFill>
          <a:srgbClr val="4472C4"/>
        </a:solidFill>
        <a:ln w="12700" cap="flat" cmpd="sng" algn="ctr">
          <a:solidFill>
            <a:srgbClr val="4472C4">
              <a:shade val="50000"/>
            </a:srgbClr>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900" b="1" i="0" u="none" strike="noStrike" kern="0" cap="none" spc="0" normalizeH="0" baseline="0" noProof="0">
              <a:ln>
                <a:noFill/>
              </a:ln>
              <a:solidFill>
                <a:sysClr val="window" lastClr="FFFFFF"/>
              </a:solidFill>
              <a:effectLst/>
              <a:uLnTx/>
              <a:uFillTx/>
              <a:latin typeface="Calibri" panose="020F0502020204030204"/>
              <a:ea typeface="+mn-ea"/>
              <a:cs typeface="+mn-cs"/>
            </a:rPr>
            <a:t>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lfred" refreshedDate="46040.602220370369" createdVersion="7" refreshedVersion="7" minRefreshableVersion="3" recordCount="6" xr:uid="{5A13D344-D4DE-439B-9FB9-9F1296594656}">
  <cacheSource type="worksheet">
    <worksheetSource name="Expense"/>
  </cacheSource>
  <cacheFields count="8">
    <cacheField name="Date" numFmtId="167">
      <sharedItems containsNonDate="0" containsDate="1" containsString="0" containsBlank="1" minDate="2025-11-01T00:00:00" maxDate="2025-11-03T00:00:00"/>
    </cacheField>
    <cacheField name="Month" numFmtId="14">
      <sharedItems containsBlank="1" count="8">
        <s v="November"/>
        <s v=""/>
        <s v="August" u="1"/>
        <m u="1"/>
        <s v="October" u="1"/>
        <s v="February" u="1"/>
        <s v="September" u="1"/>
        <s v="January" u="1"/>
      </sharedItems>
    </cacheField>
    <cacheField name="Category" numFmtId="0">
      <sharedItems containsBlank="1" count="9">
        <s v="Healthy_Wellness"/>
        <s v="Travel"/>
        <s v="Miscellaneous_Others"/>
        <s v="Living_Household"/>
        <s v="Transportation"/>
        <m/>
        <s v="Personal_Lifestyle" u="1"/>
        <s v="Financial_Obligations" u="1"/>
        <s v="Education" u="1"/>
      </sharedItems>
    </cacheField>
    <cacheField name="Type" numFmtId="0">
      <sharedItems containsBlank="1"/>
    </cacheField>
    <cacheField name="Description" numFmtId="0">
      <sharedItems containsBlank="1"/>
    </cacheField>
    <cacheField name="Budgeted" numFmtId="44">
      <sharedItems containsString="0" containsBlank="1" containsNumber="1" containsInteger="1" minValue="800" maxValue="10000"/>
    </cacheField>
    <cacheField name="Actual" numFmtId="44">
      <sharedItems containsString="0" containsBlank="1" containsNumber="1" containsInteger="1" minValue="900" maxValue="15000"/>
    </cacheField>
    <cacheField name="Difference" numFmtId="44">
      <sharedItems containsSemiMixedTypes="0" containsString="0" containsNumber="1" containsInteger="1" minValue="-5000" maxValue="500"/>
    </cacheField>
  </cacheFields>
  <extLst>
    <ext xmlns:x14="http://schemas.microsoft.com/office/spreadsheetml/2009/9/main" uri="{725AE2AE-9491-48be-B2B4-4EB974FC3084}">
      <x14:pivotCacheDefinition pivotCacheId="12415043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lfred" refreshedDate="46040.602220717592" createdVersion="7" refreshedVersion="7" minRefreshableVersion="3" recordCount="8" xr:uid="{1C895911-4109-48BC-9905-40FEC51512D8}">
  <cacheSource type="worksheet">
    <worksheetSource name="Table5"/>
  </cacheSource>
  <cacheFields count="7">
    <cacheField name="Bill Name" numFmtId="0">
      <sharedItems containsBlank="1" count="10">
        <s v="Shop Rent"/>
        <s v="Internet"/>
        <s v="Charge"/>
        <s v="Spotify"/>
        <m/>
        <s v="Netflix" u="1"/>
        <s v="Youtube" u="1"/>
        <s v="Kindle" u="1"/>
        <s v="Charges" u="1"/>
        <s v="Amazon Prime" u="1"/>
      </sharedItems>
    </cacheField>
    <cacheField name="Start Date" numFmtId="166">
      <sharedItems containsNonDate="0" containsDate="1" containsString="0" containsBlank="1" minDate="2025-01-01T00:00:00" maxDate="2026-01-03T00:00:00"/>
    </cacheField>
    <cacheField name="Frequency" numFmtId="0">
      <sharedItems containsBlank="1" count="5">
        <s v="Annual"/>
        <s v="Monthly"/>
        <m/>
        <s v="Quarterly" u="1"/>
        <s v="Bi-Annual" u="1"/>
      </sharedItems>
    </cacheField>
    <cacheField name="Amount" numFmtId="44">
      <sharedItems containsString="0" containsBlank="1" containsNumber="1" containsInteger="1" minValue="10" maxValue="20000"/>
    </cacheField>
    <cacheField name="Due Date" numFmtId="166">
      <sharedItems containsDate="1" containsMixedTypes="1" minDate="2025-12-05T00:00:00" maxDate="2026-02-03T00:00:00"/>
    </cacheField>
    <cacheField name="Days Left" numFmtId="1">
      <sharedItems containsMixedTypes="1" containsNumber="1" containsInteger="1" minValue="0" maxValue="15"/>
    </cacheField>
    <cacheField name="Status" numFmtId="0">
      <sharedItems/>
    </cacheField>
  </cacheFields>
  <extLst>
    <ext xmlns:x14="http://schemas.microsoft.com/office/spreadsheetml/2009/9/main" uri="{725AE2AE-9491-48be-B2B4-4EB974FC3084}">
      <x14:pivotCacheDefinition pivotCacheId="6534805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d v="2025-11-01T00:00:00"/>
    <x v="0"/>
    <x v="0"/>
    <s v="Health_Insurance"/>
    <s v="Premiunm Payment"/>
    <n v="10000"/>
    <n v="15000"/>
    <n v="-5000"/>
  </r>
  <r>
    <d v="2025-11-01T00:00:00"/>
    <x v="0"/>
    <x v="1"/>
    <s v="Tours_Leisure"/>
    <s v="Entertainment"/>
    <n v="5000"/>
    <n v="4500"/>
    <n v="500"/>
  </r>
  <r>
    <d v="2025-11-02T00:00:00"/>
    <x v="0"/>
    <x v="2"/>
    <s v="Unplanned_Purchases"/>
    <s v="Other"/>
    <n v="2000"/>
    <n v="1500"/>
    <n v="500"/>
  </r>
  <r>
    <d v="2025-11-02T00:00:00"/>
    <x v="0"/>
    <x v="3"/>
    <s v="Utilities"/>
    <s v="Electricity"/>
    <n v="800"/>
    <n v="900"/>
    <n v="-100"/>
  </r>
  <r>
    <d v="2025-11-02T00:00:00"/>
    <x v="0"/>
    <x v="4"/>
    <s v="Vehicle_Maintenance"/>
    <s v="Servicing"/>
    <n v="900"/>
    <n v="900"/>
    <n v="0"/>
  </r>
  <r>
    <m/>
    <x v="1"/>
    <x v="5"/>
    <m/>
    <m/>
    <m/>
    <m/>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d v="2025-01-01T00:00:00"/>
    <x v="0"/>
    <n v="20000"/>
    <d v="2026-01-01T00:00:00"/>
    <n v="0"/>
    <s v="Expired"/>
  </r>
  <r>
    <x v="1"/>
    <d v="2025-11-05T00:00:00"/>
    <x v="1"/>
    <n v="3000"/>
    <d v="2025-12-05T00:00:00"/>
    <n v="0"/>
    <s v="Expired"/>
  </r>
  <r>
    <x v="2"/>
    <d v="2025-11-10T00:00:00"/>
    <x v="1"/>
    <n v="1000"/>
    <d v="2025-12-10T00:00:00"/>
    <n v="0"/>
    <s v="Expired"/>
  </r>
  <r>
    <x v="1"/>
    <d v="2026-01-02T00:00:00"/>
    <x v="1"/>
    <n v="200"/>
    <d v="2026-02-02T00:00:00"/>
    <n v="15"/>
    <s v="Active"/>
  </r>
  <r>
    <x v="3"/>
    <d v="2025-12-25T00:00:00"/>
    <x v="1"/>
    <n v="10"/>
    <d v="2026-01-25T00:00:00"/>
    <n v="7"/>
    <s v="Due Soon"/>
  </r>
  <r>
    <x v="4"/>
    <m/>
    <x v="2"/>
    <m/>
    <s v=""/>
    <s v=""/>
    <s v=""/>
  </r>
  <r>
    <x v="4"/>
    <m/>
    <x v="2"/>
    <m/>
    <s v=""/>
    <s v=""/>
    <s v=""/>
  </r>
  <r>
    <x v="4"/>
    <m/>
    <x v="2"/>
    <m/>
    <s v=""/>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476CBF-CD88-4715-949A-47788344EE22}"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B3:C10" firstHeaderRow="1" firstDataRow="1" firstDataCol="1" rowPageCount="1" colPageCount="1"/>
  <pivotFields count="8">
    <pivotField showAll="0"/>
    <pivotField axis="axisPage" showAll="0">
      <items count="9">
        <item m="1" x="7"/>
        <item m="1" x="5"/>
        <item m="1" x="4"/>
        <item m="1" x="3"/>
        <item m="1" x="2"/>
        <item m="1" x="6"/>
        <item x="0"/>
        <item x="1"/>
        <item t="default"/>
      </items>
    </pivotField>
    <pivotField axis="axisRow" showAll="0">
      <items count="10">
        <item m="1" x="8"/>
        <item m="1" x="7"/>
        <item x="0"/>
        <item x="3"/>
        <item m="1" x="6"/>
        <item x="5"/>
        <item x="1"/>
        <item x="2"/>
        <item x="4"/>
        <item t="default"/>
      </items>
    </pivotField>
    <pivotField showAll="0"/>
    <pivotField showAll="0"/>
    <pivotField showAll="0"/>
    <pivotField dataField="1" showAll="0"/>
    <pivotField numFmtId="44" showAll="0"/>
  </pivotFields>
  <rowFields count="1">
    <field x="2"/>
  </rowFields>
  <rowItems count="7">
    <i>
      <x v="2"/>
    </i>
    <i>
      <x v="3"/>
    </i>
    <i>
      <x v="5"/>
    </i>
    <i>
      <x v="6"/>
    </i>
    <i>
      <x v="7"/>
    </i>
    <i>
      <x v="8"/>
    </i>
    <i t="grand">
      <x/>
    </i>
  </rowItems>
  <colItems count="1">
    <i/>
  </colItems>
  <pageFields count="1">
    <pageField fld="1" hier="-1"/>
  </pageFields>
  <dataFields count="1">
    <dataField name="Sum of Actual" fld="6" baseField="0" baseItem="0"/>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2"/>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2" count="1" selected="0">
            <x v="0"/>
          </reference>
        </references>
      </pivotArea>
    </chartFormat>
    <chartFormat chart="1" format="6">
      <pivotArea type="data" outline="0" fieldPosition="0">
        <references count="2">
          <reference field="4294967294" count="1" selected="0">
            <x v="0"/>
          </reference>
          <reference field="2" count="1" selected="0">
            <x v="1"/>
          </reference>
        </references>
      </pivotArea>
    </chartFormat>
    <chartFormat chart="1" format="7">
      <pivotArea type="data" outline="0" fieldPosition="0">
        <references count="2">
          <reference field="4294967294" count="1" selected="0">
            <x v="0"/>
          </reference>
          <reference field="2" count="1" selected="0">
            <x v="2"/>
          </reference>
        </references>
      </pivotArea>
    </chartFormat>
    <chartFormat chart="1" format="8">
      <pivotArea type="data" outline="0" fieldPosition="0">
        <references count="2">
          <reference field="4294967294" count="1" selected="0">
            <x v="0"/>
          </reference>
          <reference field="2" count="1" selected="0">
            <x v="3"/>
          </reference>
        </references>
      </pivotArea>
    </chartFormat>
    <chartFormat chart="1" format="9">
      <pivotArea type="data" outline="0" fieldPosition="0">
        <references count="2">
          <reference field="4294967294" count="1" selected="0">
            <x v="0"/>
          </reference>
          <reference field="2" count="1" selected="0">
            <x v="4"/>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2" count="1" selected="0">
            <x v="0"/>
          </reference>
        </references>
      </pivotArea>
    </chartFormat>
    <chartFormat chart="6" format="12">
      <pivotArea type="data" outline="0" fieldPosition="0">
        <references count="2">
          <reference field="4294967294" count="1" selected="0">
            <x v="0"/>
          </reference>
          <reference field="2" count="1" selected="0">
            <x v="1"/>
          </reference>
        </references>
      </pivotArea>
    </chartFormat>
    <chartFormat chart="6" format="13">
      <pivotArea type="data" outline="0" fieldPosition="0">
        <references count="2">
          <reference field="4294967294" count="1" selected="0">
            <x v="0"/>
          </reference>
          <reference field="2" count="1" selected="0">
            <x v="2"/>
          </reference>
        </references>
      </pivotArea>
    </chartFormat>
    <chartFormat chart="6" format="14">
      <pivotArea type="data" outline="0" fieldPosition="0">
        <references count="2">
          <reference field="4294967294" count="1" selected="0">
            <x v="0"/>
          </reference>
          <reference field="2" count="1" selected="0">
            <x v="3"/>
          </reference>
        </references>
      </pivotArea>
    </chartFormat>
    <chartFormat chart="6" format="15">
      <pivotArea type="data" outline="0" fieldPosition="0">
        <references count="2">
          <reference field="4294967294" count="1" selected="0">
            <x v="0"/>
          </reference>
          <reference field="2" count="1" selected="0">
            <x v="4"/>
          </reference>
        </references>
      </pivotArea>
    </chartFormat>
    <chartFormat chart="2" format="16"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2" count="1" selected="0">
            <x v="5"/>
          </reference>
        </references>
      </pivotArea>
    </chartFormat>
    <chartFormat chart="6" format="17">
      <pivotArea type="data" outline="0" fieldPosition="0">
        <references count="2">
          <reference field="4294967294" count="1" selected="0">
            <x v="0"/>
          </reference>
          <reference field="2" count="1" selected="0">
            <x v="6"/>
          </reference>
        </references>
      </pivotArea>
    </chartFormat>
    <chartFormat chart="6" format="18">
      <pivotArea type="data" outline="0" fieldPosition="0">
        <references count="2">
          <reference field="4294967294" count="1" selected="0">
            <x v="0"/>
          </reference>
          <reference field="2" count="1" selected="0">
            <x v="7"/>
          </reference>
        </references>
      </pivotArea>
    </chartFormat>
    <chartFormat chart="6" format="19">
      <pivotArea type="data" outline="0" fieldPosition="0">
        <references count="2">
          <reference field="4294967294" count="1" selected="0">
            <x v="0"/>
          </reference>
          <reference field="2"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870D5A-F311-44E2-B12B-589A304D712B}"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H3:I9" firstHeaderRow="1" firstDataRow="1" firstDataCol="1" rowPageCount="1" colPageCount="1"/>
  <pivotFields count="7">
    <pivotField axis="axisRow" showAll="0">
      <items count="11">
        <item x="4"/>
        <item x="3"/>
        <item m="1" x="6"/>
        <item m="1" x="5"/>
        <item m="1" x="9"/>
        <item m="1" x="7"/>
        <item x="0"/>
        <item x="1"/>
        <item m="1" x="8"/>
        <item x="2"/>
        <item t="default"/>
      </items>
    </pivotField>
    <pivotField numFmtId="166" showAll="0"/>
    <pivotField axis="axisPage" showAll="0">
      <items count="6">
        <item x="0"/>
        <item m="1" x="4"/>
        <item x="1"/>
        <item m="1" x="3"/>
        <item x="2"/>
        <item t="default"/>
      </items>
    </pivotField>
    <pivotField dataField="1" showAll="0"/>
    <pivotField numFmtId="166" showAll="0"/>
    <pivotField numFmtId="1" showAll="0"/>
    <pivotField showAll="0"/>
  </pivotFields>
  <rowFields count="1">
    <field x="0"/>
  </rowFields>
  <rowItems count="6">
    <i>
      <x/>
    </i>
    <i>
      <x v="1"/>
    </i>
    <i>
      <x v="6"/>
    </i>
    <i>
      <x v="7"/>
    </i>
    <i>
      <x v="9"/>
    </i>
    <i t="grand">
      <x/>
    </i>
  </rowItems>
  <colItems count="1">
    <i/>
  </colItems>
  <pageFields count="1">
    <pageField fld="2" hier="-1"/>
  </pageFields>
  <dataFields count="1">
    <dataField name="Sum of Amount" fld="3" baseField="0" baseItem="1"/>
  </dataField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 chart="2" format="11">
      <pivotArea type="data" outline="0" fieldPosition="0">
        <references count="2">
          <reference field="4294967294" count="1" selected="0">
            <x v="0"/>
          </reference>
          <reference field="0" count="1" selected="0">
            <x v="4"/>
          </reference>
        </references>
      </pivotArea>
    </chartFormat>
    <chartFormat chart="2" format="12">
      <pivotArea type="data" outline="0" fieldPosition="0">
        <references count="2">
          <reference field="4294967294" count="1" selected="0">
            <x v="0"/>
          </reference>
          <reference field="0" count="1" selected="0">
            <x v="5"/>
          </reference>
        </references>
      </pivotArea>
    </chartFormat>
    <chartFormat chart="2" format="13">
      <pivotArea type="data" outline="0" fieldPosition="0">
        <references count="2">
          <reference field="4294967294" count="1" selected="0">
            <x v="0"/>
          </reference>
          <reference field="0" count="1" selected="0">
            <x v="0"/>
          </reference>
        </references>
      </pivotArea>
    </chartFormat>
    <chartFormat chart="2" format="14">
      <pivotArea type="data" outline="0" fieldPosition="0">
        <references count="2">
          <reference field="4294967294" count="1" selected="0">
            <x v="0"/>
          </reference>
          <reference field="0" count="1" selected="0">
            <x v="6"/>
          </reference>
        </references>
      </pivotArea>
    </chartFormat>
    <chartFormat chart="2" format="15">
      <pivotArea type="data" outline="0" fieldPosition="0">
        <references count="2">
          <reference field="4294967294" count="1" selected="0">
            <x v="0"/>
          </reference>
          <reference field="0" count="1" selected="0">
            <x v="7"/>
          </reference>
        </references>
      </pivotArea>
    </chartFormat>
    <chartFormat chart="2" format="16">
      <pivotArea type="data" outline="0" fieldPosition="0">
        <references count="2">
          <reference field="4294967294" count="1" selected="0">
            <x v="0"/>
          </reference>
          <reference field="0" count="1" selected="0">
            <x v="8"/>
          </reference>
        </references>
      </pivotArea>
    </chartFormat>
    <chartFormat chart="2" format="17">
      <pivotArea type="data" outline="0" fieldPosition="0">
        <references count="2">
          <reference field="4294967294" count="1" selected="0">
            <x v="0"/>
          </reference>
          <reference field="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908440F-D5A7-4E31-95E4-6A57ED497DAB}" sourceName="Month">
  <pivotTables>
    <pivotTable tabId="11" name="PivotTable3"/>
  </pivotTables>
  <data>
    <tabular pivotCacheId="1241504365">
      <items count="8">
        <i x="0" s="1"/>
        <i x="7" s="1" nd="1"/>
        <i x="5" s="1" nd="1"/>
        <i x="2" s="1" nd="1"/>
        <i x="6" s="1" nd="1"/>
        <i x="4" s="1" nd="1"/>
        <i x="1"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equency" xr10:uid="{4C52C5D2-C59C-4A9E-B696-AACF795EE6A3}" sourceName="Frequency">
  <pivotTables>
    <pivotTable tabId="11" name="PivotTable2"/>
  </pivotTables>
  <data>
    <tabular pivotCacheId="653480550">
      <items count="5">
        <i x="0" s="1"/>
        <i x="1" s="1"/>
        <i x="4" s="1" nd="1"/>
        <i x="3" s="1" nd="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193DD70A-CA77-43F1-9D6E-A1A1DCB9FFBE}" cache="Slicer_Month" caption="Month" columnCount="3"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0A91BB1-BDE5-4179-ADE3-019B74C89714}" cache="Slicer_Month" caption="Month" style="SlicerStyleLight4" rowHeight="241300"/>
  <slicer name="Frequency" xr10:uid="{7D3AA765-3A6D-40C9-A70B-2DCBE8334906}" cache="Slicer_Frequency" caption="Frequency"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53ECA8-EFC2-4ED8-A555-2C7428655C64}" name="Table3" displayName="Table3" ref="B8:E20" totalsRowShown="0" headerRowDxfId="272" dataDxfId="270" headerRowBorderDxfId="271" tableBorderDxfId="269" totalsRowBorderDxfId="268">
  <autoFilter ref="B8:E20" xr:uid="{C953ECA8-EFC2-4ED8-A555-2C7428655C64}"/>
  <tableColumns count="4">
    <tableColumn id="1" xr3:uid="{B4B2E707-C4F0-428A-BBBE-6B6E2DA8E417}" name="Month" dataDxfId="267">
      <calculatedColumnFormula array="1">IFERROR(INDEX(Expense[Month], MATCH(0, IF(Expense[Month]&lt;&gt;"", COUNTIF($B$8:B8, Expense[Month]), 1), 0)), IFERROR(INDEX(Table1[Month], MATCH(0, IF(Table1[Month]&lt;&gt;"", COUNTIF($B$8:B8,Table1[Month]), 1), 0)),""))</calculatedColumnFormula>
    </tableColumn>
    <tableColumn id="2" xr3:uid="{8ACCEC1C-2772-4D82-BD03-EFACC8F0198C}" name="Actual Income" dataDxfId="266" dataCellStyle="Currency">
      <calculatedColumnFormula>SUMIF('Income Tracker'!C:C, 'Annual Summary'!B9, 'Income Tracker'!H:H)</calculatedColumnFormula>
    </tableColumn>
    <tableColumn id="3" xr3:uid="{57B2DB89-6E73-40E0-84CA-B301D8F249F0}" name="Actual Expenses" dataDxfId="265" dataCellStyle="Currency">
      <calculatedColumnFormula>SUMIF('Expenses Tracker'!C:C, 'Annual Summary'!B9, 'Expenses Tracker'!H:H)</calculatedColumnFormula>
    </tableColumn>
    <tableColumn id="4" xr3:uid="{776D5C6C-CB34-40FE-9E17-ADD218CE5CD2}" name="NET BALANCE" dataDxfId="264" dataCellStyle="Currency">
      <calculatedColumnFormula>(Table3[[#This Row],[Actual Income]]-Table3[[#This Row],[Actual Expenses]])</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1F4236-2CAF-428D-9F4B-1F6215C9BEDB}" name="Expense" displayName="Expense" ref="B1:I7" totalsRowShown="0" headerRowDxfId="260" dataDxfId="258" headerRowBorderDxfId="259" tableBorderDxfId="257" totalsRowBorderDxfId="256">
  <autoFilter ref="B1:I7" xr:uid="{FC1F4236-2CAF-428D-9F4B-1F6215C9BEDB}"/>
  <tableColumns count="8">
    <tableColumn id="1" xr3:uid="{80FBC6A7-3640-412C-9AEE-C82B1B8634A9}" name="Date" dataDxfId="255"/>
    <tableColumn id="2" xr3:uid="{18E9A3DE-C116-4728-AD29-B93A30843373}" name="Month" dataDxfId="254">
      <calculatedColumnFormula>IF(Expense[[#This Row],[Date]]="","", TEXT(Expense[[#This Row],[Date]], "mmmm"))</calculatedColumnFormula>
    </tableColumn>
    <tableColumn id="3" xr3:uid="{C5B8FA3F-E564-469F-A3A8-D16E5A649DCF}" name="Category" dataDxfId="253"/>
    <tableColumn id="8" xr3:uid="{16E016DE-4E57-4D4D-8A09-63DACE75B2E4}" name="Type" dataDxfId="252"/>
    <tableColumn id="4" xr3:uid="{21325B76-5B8D-4D54-BA75-E140657C89E9}" name="Description" dataDxfId="251"/>
    <tableColumn id="5" xr3:uid="{724BA7BC-AEC3-402C-8B8A-5228171E5A58}" name="Budgeted" dataDxfId="250"/>
    <tableColumn id="6" xr3:uid="{D854D302-456D-4133-BB60-23C56223E4BC}" name="Actual" dataDxfId="249"/>
    <tableColumn id="7" xr3:uid="{2CDB8A90-E57D-400A-9E73-C6610196F7C1}" name="Difference" dataDxfId="248">
      <calculatedColumnFormula>G2-H2</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7BE998-BE9E-4AA9-BD65-8780FA130F02}" name="Table1" displayName="Table1" ref="B4:I14" totalsRowShown="0" headerRowDxfId="244" dataDxfId="242" headerRowBorderDxfId="243" tableBorderDxfId="241" totalsRowBorderDxfId="240">
  <autoFilter ref="B4:I14" xr:uid="{707BE998-BE9E-4AA9-BD65-8780FA130F02}"/>
  <tableColumns count="8">
    <tableColumn id="1" xr3:uid="{1A463CA6-8620-4670-AC8B-AACBADC03B9B}" name="Date" dataDxfId="239"/>
    <tableColumn id="2" xr3:uid="{108FDDAF-F663-4F13-B58B-66D04D818039}" name="Month" dataDxfId="238">
      <calculatedColumnFormula>IF(Table1[[#This Row],[Date]]="","", TEXT(Table1[[#This Row],[Date]], "mmmm"))</calculatedColumnFormula>
    </tableColumn>
    <tableColumn id="3" xr3:uid="{8B58C06D-881E-4A92-89B5-BF272BD1FF10}" name="Source" dataDxfId="237"/>
    <tableColumn id="8" xr3:uid="{D5A295F5-B98B-4C61-9104-08F3C6760876}" name="Type" dataDxfId="236"/>
    <tableColumn id="7" xr3:uid="{ED9F96E7-B751-4520-9064-B33354F3E5D0}" name="Description" dataDxfId="235"/>
    <tableColumn id="4" xr3:uid="{7992D033-67E7-4E3E-8262-986C3A230940}" name="Estimate" dataDxfId="234" dataCellStyle="Currency"/>
    <tableColumn id="5" xr3:uid="{2A98951E-3981-4CFF-8502-E4DDDFE6BA00}" name="Actual" dataDxfId="233" dataCellStyle="Currency"/>
    <tableColumn id="6" xr3:uid="{0BD06EDD-51B2-4390-9006-1C4018246EB2}" name="Difference" dataDxfId="232" dataCellStyle="Currency">
      <calculatedColumnFormula>H5-G5</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FD8FF8F-8ECF-45C6-B180-CF64D9FBA8C3}" name="Table9" displayName="Table9" ref="A31:A35" totalsRowShown="0" headerRowDxfId="231" dataDxfId="230">
  <autoFilter ref="A31:A35" xr:uid="{FFD8FF8F-8ECF-45C6-B180-CF64D9FBA8C3}"/>
  <tableColumns count="1">
    <tableColumn id="1" xr3:uid="{10972A31-79DD-4876-823F-2EBCE95C5B26}" name="Product_Sales" dataDxfId="22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0F18A5-A214-41E2-9C43-5307C58725EF}" name="Table10" displayName="Table10" ref="B31:B34" totalsRowShown="0" headerRowDxfId="228" dataDxfId="227">
  <autoFilter ref="B31:B34" xr:uid="{320F18A5-A214-41E2-9C43-5307C58725EF}"/>
  <tableColumns count="1">
    <tableColumn id="1" xr3:uid="{B644A995-DBD3-4D69-B02E-62DDAF5B1308}" name="Services" dataDxfId="226"/>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2E4EE10-2257-44E7-9545-6EC2174096C1}" name="Table11" displayName="Table11" ref="C31:C34" totalsRowShown="0" headerRowDxfId="225" dataDxfId="224">
  <autoFilter ref="C31:C34" xr:uid="{72E4EE10-2257-44E7-9545-6EC2174096C1}"/>
  <tableColumns count="1">
    <tableColumn id="1" xr3:uid="{91A841C1-E418-44E9-B7AA-D2FC739C529C}" name="Bonuses" dataDxfId="223"/>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569169-BB16-4776-807B-1AE33531F234}" name="Table12" displayName="Table12" ref="D31:D33" totalsRowShown="0" headerRowDxfId="222" dataDxfId="221">
  <autoFilter ref="D31:D33" xr:uid="{6D569169-BB16-4776-807B-1AE33531F234}"/>
  <tableColumns count="1">
    <tableColumn id="1" xr3:uid="{BDDD156E-BC77-4AA5-B521-81AA3059A9DC}" name="Sales" dataDxfId="220"/>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DFE0093-440A-45B1-9854-0FEF6A41147F}" name="Table13" displayName="Table13" ref="E31:E33" totalsRowShown="0" headerRowDxfId="219" dataDxfId="218">
  <autoFilter ref="E31:E33" xr:uid="{BDFE0093-440A-45B1-9854-0FEF6A41147F}"/>
  <tableColumns count="1">
    <tableColumn id="1" xr3:uid="{E3A5CC40-CFF4-4C98-B447-62A80F685C94}" name="Data_Analysis" dataDxfId="217"/>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D84E21D-C705-4FD2-9E7E-F1AABE974B6D}" name="Table14" displayName="Table14" ref="F31:F32" totalsRowShown="0" headerRowDxfId="216" dataDxfId="215">
  <autoFilter ref="F31:F32" xr:uid="{3D84E21D-C705-4FD2-9E7E-F1AABE974B6D}"/>
  <tableColumns count="1">
    <tableColumn id="1" xr3:uid="{66E7A62E-F9EB-4E2F-8B0F-86E153402701}" name="Design" dataDxfId="214"/>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76C7DF8-2A01-435D-8551-635F24603171}" name="Table15" displayName="Table15" ref="G31:G33" totalsRowShown="0" headerRowDxfId="213" dataDxfId="212">
  <autoFilter ref="G31:G33" xr:uid="{176C7DF8-2A01-435D-8551-635F24603171}"/>
  <tableColumns count="1">
    <tableColumn id="1" xr3:uid="{2C04A0A8-0D30-4005-B7C0-49CD237B8672}" name="Technical_Projects" dataDxfId="211"/>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CB72418-6666-406C-BB55-D0D48D43308C}" name="Table16" displayName="Table16" ref="H31:H32" totalsRowShown="0" headerRowDxfId="210" dataDxfId="209">
  <autoFilter ref="H31:H32" xr:uid="{BCB72418-6666-406C-BB55-D0D48D43308C}"/>
  <tableColumns count="1">
    <tableColumn id="1" xr3:uid="{40D1F912-CD9A-4234-935B-E8FA76987989}" name="Writing" dataDxfId="208"/>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C831B25-F29F-43E0-BDC7-40441BA89D6C}" name="Table17" displayName="Table17" ref="I31:I34" totalsRowShown="0" headerRowDxfId="207" dataDxfId="206">
  <autoFilter ref="I31:I34" xr:uid="{EC831B25-F29F-43E0-BDC7-40441BA89D6C}"/>
  <tableColumns count="1">
    <tableColumn id="1" xr3:uid="{0491FC51-7598-4D8B-9359-56D5C403AFAE}" name="Financial" dataDxfId="205"/>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ADB028A-9576-483B-8D02-1815A954271E}" name="Table18" displayName="Table18" ref="J31:J33" totalsRowShown="0" headerRowDxfId="204" dataDxfId="203">
  <autoFilter ref="J31:J33" xr:uid="{EADB028A-9576-483B-8D02-1815A954271E}"/>
  <tableColumns count="1">
    <tableColumn id="1" xr3:uid="{8A77B25C-5BAA-4225-A496-4768ECB948D3}" name="Property" dataDxfId="202"/>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1BC1DF7-6656-496A-A50A-030D33F84CA4}" name="Table19" displayName="Table19" ref="K31:K36" totalsRowShown="0" headerRowDxfId="201" dataDxfId="200">
  <autoFilter ref="K31:K36" xr:uid="{D1BC1DF7-6656-496A-A50A-030D33F84CA4}"/>
  <tableColumns count="1">
    <tableColumn id="1" xr3:uid="{CB3A60AA-4D5A-46BF-9FA9-11F8DC594F99}" name="Content_Creation" dataDxfId="199"/>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7198CD2-0C51-400F-A2FC-EBB325932F9A}" name="Table20" displayName="Table20" ref="L31:L34" totalsRowShown="0" headerRowDxfId="198" dataDxfId="197">
  <autoFilter ref="L31:L34" xr:uid="{E7198CD2-0C51-400F-A2FC-EBB325932F9A}"/>
  <tableColumns count="1">
    <tableColumn id="1" xr3:uid="{7D7FECD2-30BF-4A4E-99F6-7A1496769614}" name="Digital_Sales" dataDxfId="196"/>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BEC487F-EB77-4E40-B33C-1FF3E26166F5}" name="Table21" displayName="Table21" ref="M31:M33" totalsRowShown="0" headerRowDxfId="195" dataDxfId="194">
  <autoFilter ref="M31:M33" xr:uid="{7BEC487F-EB77-4E40-B33C-1FF3E26166F5}"/>
  <tableColumns count="1">
    <tableColumn id="1" xr3:uid="{3398CFEB-C431-45FD-9B12-1CC64FDAFF15}" name="Gift_Donations_Income" dataDxfId="193"/>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46FCE9C-4D36-49AC-A6A9-98BC498EF3BF}" name="Table22" displayName="Table22" ref="N31:N32" totalsRowShown="0" headerRowDxfId="192" dataDxfId="191">
  <autoFilter ref="N31:N32" xr:uid="{D46FCE9C-4D36-49AC-A6A9-98BC498EF3BF}"/>
  <tableColumns count="1">
    <tableColumn id="1" xr3:uid="{FEB18E25-B28F-4B67-82E8-2B402EB99B7A}" name="Miscellaneous" dataDxfId="190"/>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903FF2F-BEA0-4CD6-A18F-FC96AC224C39}" name="Table23" displayName="Table23" ref="O31:O33" totalsRowShown="0" headerRowDxfId="189" dataDxfId="188">
  <autoFilter ref="O31:O33" xr:uid="{F903FF2F-BEA0-4CD6-A18F-FC96AC224C39}"/>
  <tableColumns count="1">
    <tableColumn id="1" xr3:uid="{B63784E0-DE59-4A79-A4F7-7540B76279D5}" name="Refunds_Rebates" dataDxfId="187"/>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ABFE8B64-90A7-4880-820F-8FF6846AFB4F}" name="Table24" displayName="Table24" ref="P31:P34" totalsRowShown="0" headerRowDxfId="186" dataDxfId="185">
  <autoFilter ref="P31:P34" xr:uid="{ABFE8B64-90A7-4880-820F-8FF6846AFB4F}"/>
  <tableColumns count="1">
    <tableColumn id="1" xr3:uid="{C2E8382D-924D-40B8-93E5-0FA832F21725}" name="Allowances" dataDxfId="184"/>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6E4BA24-E106-4951-A8B8-E0309DB33A6C}" name="Table25" displayName="Table25" ref="Q31:Q33" totalsRowShown="0" headerRowDxfId="183" dataDxfId="182">
  <autoFilter ref="Q31:Q33" xr:uid="{E6E4BA24-E106-4951-A8B8-E0309DB33A6C}"/>
  <tableColumns count="1">
    <tableColumn id="1" xr3:uid="{BD6F512B-77D2-4B1B-BD1C-23C332449586}" name="Monthly_Pay" dataDxfId="181"/>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F009B665-FB5D-4F39-8988-21C226D410AC}" name="Table29" displayName="Table29" ref="A21:A24" totalsRowShown="0" headerRowDxfId="180" dataDxfId="179">
  <autoFilter ref="A21:A24" xr:uid="{F009B665-FB5D-4F39-8988-21C226D410AC}"/>
  <tableColumns count="1">
    <tableColumn id="1" xr3:uid="{91BA64D7-1766-4B15-8CA7-4154EDBAA577}" name="Business_Income" dataDxfId="178"/>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798363C3-180C-4EEF-9668-9442C57E3232}" name="Table30" displayName="Table30" ref="B21:B23" totalsRowShown="0" headerRowDxfId="177" dataDxfId="176">
  <autoFilter ref="B21:B23" xr:uid="{798363C3-180C-4EEF-9668-9442C57E3232}"/>
  <tableColumns count="1">
    <tableColumn id="1" xr3:uid="{7C49BC51-BFBB-4980-9102-E2B184157089}" name="Commissions_Incentives" dataDxfId="175"/>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CB55C8BA-839F-4F4D-B79F-B1C9CF94AA43}" name="Table31" displayName="Table31" ref="C21:C25" totalsRowShown="0" headerRowDxfId="174" dataDxfId="173">
  <autoFilter ref="C21:C25" xr:uid="{CB55C8BA-839F-4F4D-B79F-B1C9CF94AA43}"/>
  <tableColumns count="1">
    <tableColumn id="1" xr3:uid="{103F4AEC-0298-41E7-911B-5E08A6920521}" name="Freelance_Contract" dataDxfId="172"/>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D9A210B-13F1-4368-93A8-81B0C36E38A7}" name="Table33" displayName="Table33" ref="D21:D23" totalsRowShown="0" headerRowDxfId="171" dataDxfId="170">
  <autoFilter ref="D21:D23" xr:uid="{BD9A210B-13F1-4368-93A8-81B0C36E38A7}"/>
  <tableColumns count="1">
    <tableColumn id="1" xr3:uid="{FEA04035-C1CF-4AAB-ABD0-5560E7520CC6}" name="Investments" dataDxfId="169"/>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69FDFF7F-6A5E-4D82-89A4-27B8F540F902}" name="Table34" displayName="Table34" ref="E21:E23" totalsRowShown="0" headerRowDxfId="168" dataDxfId="167">
  <autoFilter ref="E21:E23" xr:uid="{69FDFF7F-6A5E-4D82-89A4-27B8F540F902}"/>
  <tableColumns count="1">
    <tableColumn id="1" xr3:uid="{29EF938A-F44A-4CFF-9D0A-18CC2E02C057}" name="Online_Digital_Income" dataDxfId="166"/>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61A1C03E-07A8-424A-AC58-EADA6571959F}" name="Table35" displayName="Table35" ref="F21:F24" totalsRowShown="0" headerRowDxfId="165" dataDxfId="164">
  <autoFilter ref="F21:F24" xr:uid="{61A1C03E-07A8-424A-AC58-EADA6571959F}"/>
  <tableColumns count="1">
    <tableColumn id="1" xr3:uid="{8070A4F9-2E56-4C74-9B7E-8BCBA642A441}" name="Other_Income" dataDxfId="163"/>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2956BE6-3D27-4CC2-A9EC-2C3768069DF2}" name="Table36" displayName="Table36" ref="G21:G23" totalsRowShown="0" headerRowDxfId="162" dataDxfId="161">
  <autoFilter ref="G21:G23" xr:uid="{C2956BE6-3D27-4CC2-A9EC-2C3768069DF2}"/>
  <tableColumns count="1">
    <tableColumn id="1" xr3:uid="{C0C6E554-85EF-45A4-BF5A-77C3FF6E13F7}" name="Salary_Wages" dataDxfId="160"/>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AC8CCAC7-6A8F-49BB-A17C-3D9335AA778A}" name="Table37" displayName="Table37" ref="A2:A5" totalsRowShown="0" headerRowDxfId="159" dataDxfId="158">
  <autoFilter ref="A2:A5" xr:uid="{AC8CCAC7-6A8F-49BB-A17C-3D9335AA778A}"/>
  <tableColumns count="1">
    <tableColumn id="1" xr3:uid="{D815BF45-1A3A-4E84-93AC-B3C316AF07D9}" name="Education" dataDxfId="157"/>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F795837C-95E9-4DB6-8B3B-0FC2F2A2E06E}" name="Table38" displayName="Table38" ref="B2:B7" totalsRowShown="0" headerRowDxfId="156" dataDxfId="155">
  <autoFilter ref="B2:B7" xr:uid="{F795837C-95E9-4DB6-8B3B-0FC2F2A2E06E}"/>
  <tableColumns count="1">
    <tableColumn id="1" xr3:uid="{10D9F432-2CEB-4C3D-A47C-72D5B9E6D1B4}" name="Financial_Obligations" dataDxfId="154"/>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D80AB333-CA7B-41E6-9F99-F5D92496513C}" name="Table39" displayName="Table39" ref="C2:C6" totalsRowShown="0" headerRowDxfId="153" dataDxfId="152">
  <autoFilter ref="C2:C6" xr:uid="{D80AB333-CA7B-41E6-9F99-F5D92496513C}"/>
  <tableColumns count="1">
    <tableColumn id="1" xr3:uid="{A392D0BD-DFAE-44CB-BF64-35419CBA66C2}" name="Healthy_Wellness" dataDxfId="151"/>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16D4D476-AD81-4305-BFCE-025129C130B9}" name="Table40" displayName="Table40" ref="D2:D8" totalsRowShown="0" headerRowDxfId="150" dataDxfId="149">
  <autoFilter ref="D2:D8" xr:uid="{16D4D476-AD81-4305-BFCE-025129C130B9}"/>
  <tableColumns count="1">
    <tableColumn id="1" xr3:uid="{42F4D59C-DC39-4A29-A3B3-DBA49E26186F}" name="Living_Household" dataDxfId="148"/>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7B28358-4A03-404C-8DB9-4E5776697A1A}" name="Table41" displayName="Table41" ref="E2:E4" totalsRowShown="0" headerRowDxfId="147" dataDxfId="146">
  <autoFilter ref="E2:E4" xr:uid="{17B28358-4A03-404C-8DB9-4E5776697A1A}"/>
  <tableColumns count="1">
    <tableColumn id="1" xr3:uid="{25195797-6992-4CF9-8CC5-4FC6ECCD2509}" name="Miscellaneous_Others" dataDxfId="145"/>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F14054DF-624B-46CF-BC56-374F74C9F1FB}" name="Table42" displayName="Table42" ref="F2:F8" totalsRowShown="0" headerRowDxfId="144" dataDxfId="143">
  <autoFilter ref="F2:F8" xr:uid="{F14054DF-624B-46CF-BC56-374F74C9F1FB}"/>
  <tableColumns count="1">
    <tableColumn id="1" xr3:uid="{636A82F4-5E0E-41A4-A2E2-4F285B430758}" name="Personal_Lifestyle" dataDxfId="142"/>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1065E4E5-8890-4428-8777-996CED7E77D1}" name="Table43" displayName="Table43" ref="G2:G7" totalsRowShown="0" headerRowDxfId="141" dataDxfId="140">
  <autoFilter ref="G2:G7" xr:uid="{1065E4E5-8890-4428-8777-996CED7E77D1}"/>
  <tableColumns count="1">
    <tableColumn id="1" xr3:uid="{EED26867-D3C9-4644-B5EE-98BBC32C199C}" name="Transportation" dataDxfId="139"/>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7109EB6-B314-469B-8137-9E1FA7B0B169}" name="Table44" displayName="Table44" ref="H2:H6" totalsRowShown="0" headerRowDxfId="138" dataDxfId="137">
  <autoFilter ref="H2:H6" xr:uid="{C7109EB6-B314-469B-8137-9E1FA7B0B169}"/>
  <tableColumns count="1">
    <tableColumn id="1" xr3:uid="{5570DCFF-ACCE-4F91-8B64-85E12B811359}" name="Travel" dataDxfId="136"/>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85F5881D-01AC-4F18-AFE5-0B4CF1B160F2}" name="Table45" displayName="Table45" ref="I2:I8" totalsRowShown="0" headerRowDxfId="135" dataDxfId="134">
  <autoFilter ref="I2:I8" xr:uid="{85F5881D-01AC-4F18-AFE5-0B4CF1B160F2}"/>
  <tableColumns count="1">
    <tableColumn id="1" xr3:uid="{6C834445-34F1-42EE-80C1-415DBEB9BC32}" name="Work_Business" dataDxfId="133"/>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78DA45B0-2D62-48C7-A678-4C4FF9AC079E}" name="Table46" displayName="Table46" ref="A12:A14" totalsRowShown="0" headerRowDxfId="132" dataDxfId="131">
  <autoFilter ref="A12:A14" xr:uid="{78DA45B0-2D62-48C7-A678-4C4FF9AC079E}"/>
  <tableColumns count="1">
    <tableColumn id="1" xr3:uid="{9433D8D0-365A-4A65-8A30-D55D86CCCD1D}" name="Tuition_Fees" dataDxfId="130"/>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4F82EEC6-FC07-427B-BC2A-643D15B26C61}" name="Table47" displayName="Table47" ref="B12:B17" totalsRowShown="0" headerRowDxfId="129" dataDxfId="128">
  <autoFilter ref="B12:B17" xr:uid="{4F82EEC6-FC07-427B-BC2A-643D15B26C61}"/>
  <tableColumns count="1">
    <tableColumn id="1" xr3:uid="{9AD9758D-F229-4667-AFF8-5F48AC32A228}" name="Books_Materials" dataDxfId="127"/>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98CA6606-C65C-4689-90F2-BF894F15F98B}" name="Table48" displayName="Table48" ref="C12:C15" totalsRowShown="0" headerRowDxfId="126" dataDxfId="125">
  <autoFilter ref="C12:C15" xr:uid="{98CA6606-C65C-4689-90F2-BF894F15F98B}"/>
  <tableColumns count="1">
    <tableColumn id="1" xr3:uid="{4DC1B5F9-4026-4FF4-8080-192F87AE46BC}" name="Online_Courses" dataDxfId="124"/>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127C0502-A5B2-4939-8F0D-36E5D6A1C6EB}" name="Table49" displayName="Table49" ref="D12:D14" totalsRowShown="0" headerRowDxfId="123" dataDxfId="122">
  <autoFilter ref="D12:D14" xr:uid="{127C0502-A5B2-4939-8F0D-36E5D6A1C6EB}"/>
  <tableColumns count="1">
    <tableColumn id="1" xr3:uid="{73A77E91-4824-479C-BFD7-5BBB4BFBAB88}" name="Debt_Repayment" dataDxfId="121"/>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BCB4C8D5-F5DC-497E-AD23-58891465844A}" name="Table50" displayName="Table50" ref="E12:E16" totalsRowShown="0" headerRowDxfId="120" dataDxfId="119">
  <autoFilter ref="E12:E16" xr:uid="{BCB4C8D5-F5DC-497E-AD23-58891465844A}"/>
  <tableColumns count="1">
    <tableColumn id="1" xr3:uid="{E17F2AC8-62A9-4D64-85EE-A6857DC78AAC}" name="Savings_Investment" dataDxfId="118"/>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FF76E774-2DA3-4350-8377-2146C431CF41}" name="Table51" displayName="Table51" ref="F12:F15" totalsRowShown="0" headerRowDxfId="117" dataDxfId="116">
  <autoFilter ref="F12:F15" xr:uid="{FF76E774-2DA3-4350-8377-2146C431CF41}"/>
  <tableColumns count="1">
    <tableColumn id="1" xr3:uid="{8B3B47B3-E73D-428B-ADA7-A06FE9A06677}" name="Bank_Fees" dataDxfId="115"/>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66613CD9-BF63-4811-AD81-49F34FBCEFFD}" name="Table52" displayName="Table52" ref="G12:G14" totalsRowShown="0" headerRowDxfId="114" dataDxfId="113">
  <autoFilter ref="G12:G14" xr:uid="{66613CD9-BF63-4811-AD81-49F34FBCEFFD}"/>
  <tableColumns count="1">
    <tableColumn id="1" xr3:uid="{1ADEF210-7AF2-4B35-832D-8C97CDD76E2B}" name="Taxes_Levies" dataDxfId="112"/>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F5EF6ECF-6CCE-4A39-AC59-25D77B2CB5C5}" name="Table53" displayName="Table53" ref="H12:H15" totalsRowShown="0" headerRowDxfId="111" dataDxfId="110">
  <autoFilter ref="H12:H15" xr:uid="{F5EF6ECF-6CCE-4A39-AC59-25D77B2CB5C5}"/>
  <tableColumns count="1">
    <tableColumn id="1" xr3:uid="{BB0DE6ED-2195-4A02-8BD9-56337BF863CF}" name="Insurance_Premiums" dataDxfId="109"/>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E994ADD-77A6-4A02-BDB8-B5E4C789FFEA}" name="Table54" displayName="Table54" ref="I12:I16" totalsRowShown="0" headerRowDxfId="108" dataDxfId="107">
  <autoFilter ref="I12:I16" xr:uid="{1E994ADD-77A6-4A02-BDB8-B5E4C789FFEA}"/>
  <tableColumns count="1">
    <tableColumn id="1" xr3:uid="{79209FBE-B7C0-4CBC-94F2-8A5F06AEA8B8}" name="Medical_Bills" dataDxfId="106"/>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959CB58-B200-47A6-B8E8-FC7A1A870752}" name="Table55" displayName="Table55" ref="J12:J14" totalsRowShown="0" headerRowDxfId="105" dataDxfId="104">
  <autoFilter ref="J12:J14" xr:uid="{3959CB58-B200-47A6-B8E8-FC7A1A870752}"/>
  <tableColumns count="1">
    <tableColumn id="1" xr3:uid="{7E4C4D6B-BEE8-49FD-BCCD-9171AE798D3B}" name="Medications" dataDxfId="103"/>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A3B18EA4-BEB6-4993-B5D8-AAE941BA8587}" name="Table56" displayName="Table56" ref="K12:K13" totalsRowShown="0" headerRowDxfId="102" dataDxfId="101">
  <autoFilter ref="K12:K13" xr:uid="{A3B18EA4-BEB6-4993-B5D8-AAE941BA8587}"/>
  <tableColumns count="1">
    <tableColumn id="1" xr3:uid="{7A494010-E947-4660-9423-B7B816E3CDB5}" name="Health_Insurance" dataDxfId="100"/>
  </tableColumns>
  <tableStyleInfo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732F8242-96C2-48B8-A0D8-B46AD012D8FB}" name="Table57" displayName="Table57" ref="L12:L15" totalsRowShown="0" headerRowDxfId="99" dataDxfId="98">
  <autoFilter ref="L12:L15" xr:uid="{732F8242-96C2-48B8-A0D8-B46AD012D8FB}"/>
  <tableColumns count="1">
    <tableColumn id="1" xr3:uid="{34C1A7D2-01E0-415D-9383-BCE7CEB728E0}" name="Wellness_Therapy" dataDxfId="97"/>
  </tableColumns>
  <tableStyleInfo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E1C8C6F7-67EF-48F2-800A-1B34CC605D8E}" name="Table58" displayName="Table58" ref="M12:M16" totalsRowShown="0" headerRowDxfId="96" dataDxfId="95">
  <autoFilter ref="M12:M16" xr:uid="{E1C8C6F7-67EF-48F2-800A-1B34CC605D8E}"/>
  <tableColumns count="1">
    <tableColumn id="1" xr3:uid="{08429A8F-8A87-425C-BCC9-2DEB1BD9D106}" name="Rent" dataDxfId="94"/>
  </tableColumns>
  <tableStyleInfo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934A8A31-A122-4A45-B841-B568B91FE305}" name="Table59" displayName="Table59" ref="N12:N17" totalsRowShown="0" headerRowDxfId="93" dataDxfId="92">
  <autoFilter ref="N12:N17" xr:uid="{934A8A31-A122-4A45-B841-B568B91FE305}"/>
  <tableColumns count="1">
    <tableColumn id="1" xr3:uid="{F9E2D403-97B3-4DD1-9F63-0B8B7151BE57}" name="Utilities" dataDxfId="91"/>
  </tableColumns>
  <tableStyleInfo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5B710E5-8818-451D-809B-B8A44CD4DF6A}" name="Table60" displayName="Table60" ref="O12:O15" totalsRowShown="0" headerRowDxfId="90" dataDxfId="89">
  <autoFilter ref="O12:O15" xr:uid="{05B710E5-8818-451D-809B-B8A44CD4DF6A}"/>
  <tableColumns count="1">
    <tableColumn id="1" xr3:uid="{261E0B51-337F-4231-B584-8F37E5D5D0BE}" name="Internet_Cable" dataDxfId="88"/>
  </tableColumns>
  <tableStyleInfo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DBFB0C7B-7C1E-49E7-9032-CEFD90073919}" name="Table61" displayName="Table61" ref="P12:P16" totalsRowShown="0" headerRowDxfId="87" dataDxfId="86">
  <autoFilter ref="P12:P16" xr:uid="{DBFB0C7B-7C1E-49E7-9032-CEFD90073919}"/>
  <tableColumns count="1">
    <tableColumn id="1" xr3:uid="{A86C59E7-A266-40DC-BCE1-5416215B1C98}" name="Groceries" dataDxfId="85"/>
  </tableColumns>
  <tableStyleInfo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25B13105-C270-4B0E-9D35-DB1E9D7898B8}" name="Table62" displayName="Table62" ref="Q12:Q16" totalsRowShown="0" headerRowDxfId="84" dataDxfId="83">
  <autoFilter ref="Q12:Q16" xr:uid="{25B13105-C270-4B0E-9D35-DB1E9D7898B8}"/>
  <tableColumns count="1">
    <tableColumn id="1" xr3:uid="{51406E74-61B2-49FC-A3AC-9DBE96188EAC}" name="Home_Maintenance" dataDxfId="82"/>
  </tableColumns>
  <tableStyleInfo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D4E90632-D62F-436E-B0FF-9D3BA4598193}" name="Table63" displayName="Table63" ref="R12:R16" totalsRowShown="0" headerRowDxfId="81" dataDxfId="80">
  <autoFilter ref="R12:R16" xr:uid="{D4E90632-D62F-436E-B0FF-9D3BA4598193}"/>
  <tableColumns count="1">
    <tableColumn id="1" xr3:uid="{B53F18AB-BF47-41BF-8BF7-7511220F61F9}" name="Furniture_Appliances" dataDxfId="79"/>
  </tableColumns>
  <tableStyleInfo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76D70A08-66B0-4478-9998-AC1BEC96827D}" name="Table64" displayName="Table64" ref="S12:S15" totalsRowShown="0" headerRowDxfId="78" dataDxfId="77">
  <autoFilter ref="S12:S15" xr:uid="{76D70A08-66B0-4478-9998-AC1BEC96827D}"/>
  <tableColumns count="1">
    <tableColumn id="1" xr3:uid="{4A5C45D1-82E5-406D-854A-6217C29C9E6F}" name="Emergency_Expenses" dataDxfId="76"/>
  </tableColumns>
  <tableStyleInfo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51039700-00C3-4163-8DD4-6969CC6D2BDC}" name="Table65" displayName="Table65" ref="T12:T14" totalsRowShown="0" headerRowDxfId="75" dataDxfId="74">
  <autoFilter ref="T12:T14" xr:uid="{51039700-00C3-4163-8DD4-6969CC6D2BDC}"/>
  <tableColumns count="1">
    <tableColumn id="1" xr3:uid="{E2C6F877-019F-46E5-8155-483B784FA700}" name="Unplanned_Purchases" dataDxfId="73"/>
  </tableColumns>
  <tableStyleInfo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D5C99855-8F6B-42A3-A293-0616F0814FEF}" name="Table66" displayName="Table66" ref="U12:U17" totalsRowShown="0" headerRowDxfId="72" dataDxfId="71">
  <autoFilter ref="U12:U17" xr:uid="{D5C99855-8F6B-42A3-A293-0616F0814FEF}"/>
  <tableColumns count="1">
    <tableColumn id="1" xr3:uid="{D4A8792E-3B42-4B4D-B548-FB975AB8688C}" name="Clothing_Accessories" dataDxfId="70"/>
  </tableColumns>
  <tableStyleInfo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E0452B9B-460A-4472-B598-15FE075AB380}" name="Table67" displayName="Table67" ref="V12:V16" totalsRowShown="0" headerRowDxfId="69" dataDxfId="68">
  <autoFilter ref="V12:V16" xr:uid="{E0452B9B-460A-4472-B598-15FE075AB380}"/>
  <tableColumns count="1">
    <tableColumn id="1" xr3:uid="{512FF67C-0CC5-448B-9590-F1DE73B42681}" name="Haircare_Beauty" dataDxfId="67"/>
  </tableColumns>
  <tableStyleInfo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78EECEE6-7618-4034-BD41-416593E34DA8}" name="Table68" displayName="Table68" ref="W12:W16" totalsRowShown="0" headerRowDxfId="66" dataDxfId="65">
  <autoFilter ref="W12:W16" xr:uid="{78EECEE6-7618-4034-BD41-416593E34DA8}"/>
  <tableColumns count="1">
    <tableColumn id="1" xr3:uid="{2CA2910D-9C8E-4EA1-A69D-8D410113C002}" name="Entertainment_Recreation" dataDxfId="64"/>
  </tableColumns>
  <tableStyleInfo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20432EA9-8DB7-4D8B-AB41-802900DF7F93}" name="Table69" displayName="Table69" ref="X12:X16" totalsRowShown="0" headerRowDxfId="63" dataDxfId="62">
  <autoFilter ref="X12:X16" xr:uid="{20432EA9-8DB7-4D8B-AB41-802900DF7F93}"/>
  <tableColumns count="1">
    <tableColumn id="1" xr3:uid="{68ACD552-43AB-4AD0-B25A-80A57F2FF76B}" name="Gym_Fitness" dataDxfId="61"/>
  </tableColumns>
  <tableStyleInfo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CF0F241F-14AF-4F5E-9F7F-592D3B026D8A}" name="Table70" displayName="Table70" ref="Y12:Y17" totalsRowShown="0" headerRowDxfId="60" dataDxfId="59">
  <autoFilter ref="Y12:Y17" xr:uid="{CF0F241F-14AF-4F5E-9F7F-592D3B026D8A}"/>
  <tableColumns count="1">
    <tableColumn id="1" xr3:uid="{A1AFD717-6188-448C-B389-EAF1AD3B66D5}" name="Subscription" dataDxfId="58"/>
  </tableColumns>
  <tableStyleInfo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01E43BBE-E800-421E-BEB9-5E5D9279B180}" name="Table71" displayName="Table71" ref="Z12:Z15" totalsRowShown="0" headerRowDxfId="57" dataDxfId="56">
  <autoFilter ref="Z12:Z15" xr:uid="{01E43BBE-E800-421E-BEB9-5E5D9279B180}"/>
  <tableColumns count="1">
    <tableColumn id="1" xr3:uid="{9283DA36-1A46-4749-96C7-403D3CFC00ED}" name="Gift_Donations" dataDxfId="55"/>
  </tableColumns>
  <tableStyleInfo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267A7AAF-912F-4CA7-B5F3-197B0A12EBA4}" name="Table72" displayName="Table72" ref="AA12:AA15" totalsRowShown="0" headerRowDxfId="54" dataDxfId="53">
  <autoFilter ref="AA12:AA15" xr:uid="{267A7AAF-912F-4CA7-B5F3-197B0A12EBA4}"/>
  <tableColumns count="1">
    <tableColumn id="1" xr3:uid="{B835A7E8-3D25-43B3-8528-7ECC20B82DC4}" name="Fuel_Gas" dataDxfId="52"/>
  </tableColumns>
  <tableStyleInfo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0727481C-7266-4A5F-89E6-EC5FFAF244F2}" name="Table73" displayName="Table73" ref="AB12:AB16" totalsRowShown="0" headerRowDxfId="51" dataDxfId="50">
  <autoFilter ref="AB12:AB16" xr:uid="{0727481C-7266-4A5F-89E6-EC5FFAF244F2}"/>
  <tableColumns count="1">
    <tableColumn id="1" xr3:uid="{379B8CF4-EF83-4EDE-8415-5765E476B357}" name="Vehicle_Maintenance" dataDxfId="49"/>
  </tableColumns>
  <tableStyleInfo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6F55C1CE-6C96-42AA-A6F2-E75C62C48AE4}" name="Table74" displayName="Table74" ref="AC12:AC15" totalsRowShown="0" headerRowDxfId="48" dataDxfId="47">
  <autoFilter ref="AC12:AC15" xr:uid="{6F55C1CE-6C96-42AA-A6F2-E75C62C48AE4}"/>
  <tableColumns count="1">
    <tableColumn id="1" xr3:uid="{F69FD09A-0830-48BC-A461-D1079F43CF1D}" name="Public_Transport" dataDxfId="46"/>
  </tableColumns>
  <tableStyleInfo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5649DF6F-7851-4DF9-B6E1-EE7AFCF4793B}" name="Table75" displayName="Table75" ref="AD12:AD15" totalsRowShown="0" headerRowDxfId="45" dataDxfId="44">
  <autoFilter ref="AD12:AD15" xr:uid="{5649DF6F-7851-4DF9-B6E1-EE7AFCF4793B}"/>
  <tableColumns count="1">
    <tableColumn id="1" xr3:uid="{C8A5AA6A-9CE2-455C-8D38-43454F2567BE}" name="Car_Insurance_Registration" dataDxfId="43"/>
  </tableColumns>
  <tableStyleInfo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2B8592C3-B60A-4A0E-B827-94BA2F52E5DC}" name="Table76" displayName="Table76" ref="AE12:AE15" totalsRowShown="0" headerRowDxfId="42" dataDxfId="41">
  <autoFilter ref="AE12:AE15" xr:uid="{2B8592C3-B60A-4A0E-B827-94BA2F52E5DC}"/>
  <tableColumns count="1">
    <tableColumn id="1" xr3:uid="{A0E986BF-121A-4353-A896-13448A6CD272}" name="Parking_Tolls" dataDxfId="40"/>
  </tableColumns>
  <tableStyleInfo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A9D3A861-93AB-49FC-855D-401C05CCDFBA}" name="Table77" displayName="Table77" ref="AF12:AF15" totalsRowShown="0" headerRowDxfId="39" dataDxfId="38">
  <autoFilter ref="AF12:AF15" xr:uid="{A9D3A861-93AB-49FC-855D-401C05CCDFBA}"/>
  <tableColumns count="1">
    <tableColumn id="1" xr3:uid="{B1F27F38-8C66-4F54-B140-DCE357AF653A}" name="Transport_Flight" dataDxfId="37"/>
  </tableColumns>
  <tableStyleInfo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42C029B7-67CB-4897-9F23-DF0936532B64}" name="Table78" displayName="Table78" ref="AG12:AG15" totalsRowShown="0" headerRowDxfId="36" dataDxfId="35">
  <autoFilter ref="AG12:AG15" xr:uid="{42C029B7-67CB-4897-9F23-DF0936532B64}"/>
  <tableColumns count="1">
    <tableColumn id="1" xr3:uid="{836D06EC-AB39-49E6-BB47-6A82A449F7F1}" name="Accomodation" dataDxfId="34"/>
  </tableColumns>
  <tableStyleInfo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DD51E365-7960-4F73-9FA0-E9B5C625F9EC}" name="Table79" displayName="Table79" ref="AH12:AH15" totalsRowShown="0" headerRowDxfId="33" dataDxfId="32">
  <autoFilter ref="AH12:AH15" xr:uid="{DD51E365-7960-4F73-9FA0-E9B5C625F9EC}"/>
  <tableColumns count="1">
    <tableColumn id="1" xr3:uid="{60320A25-9018-4A0F-BE00-31EBA80F87D2}" name="Meals_Drinks" dataDxfId="31"/>
  </tableColumns>
  <tableStyleInfo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710CF2B3-38A2-481E-9443-E4A56DC53144}" name="Table80" displayName="Table80" ref="AI12:AI15" totalsRowShown="0" headerRowDxfId="30" dataDxfId="29">
  <autoFilter ref="AI12:AI15" xr:uid="{710CF2B3-38A2-481E-9443-E4A56DC53144}"/>
  <tableColumns count="1">
    <tableColumn id="1" xr3:uid="{191B5D7E-370B-4402-8F1F-F343FA9FC5E7}" name="Tours_Leisure" dataDxfId="28"/>
  </tableColumns>
  <tableStyleInfo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C527CD4F-CDBE-4E60-B5B2-4B55B39663B0}" name="Table81" displayName="Table81" ref="AJ12:AJ16" totalsRowShown="0" headerRowDxfId="27" dataDxfId="26">
  <autoFilter ref="AJ12:AJ16" xr:uid="{C527CD4F-CDBE-4E60-B5B2-4B55B39663B0}"/>
  <tableColumns count="1">
    <tableColumn id="1" xr3:uid="{F89045B3-160D-488F-B7B6-739222272A2F}" name="Office_Supplies" dataDxfId="25"/>
  </tableColumns>
  <tableStyleInfo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B2C07633-2CCA-44A4-A3B4-80ED8ECBFA95}" name="Table82" displayName="Table82" ref="AK12:AK15" totalsRowShown="0" headerRowDxfId="24" dataDxfId="23">
  <autoFilter ref="AK12:AK15" xr:uid="{B2C07633-2CCA-44A4-A3B4-80ED8ECBFA95}"/>
  <tableColumns count="1">
    <tableColumn id="1" xr3:uid="{C52FAB78-4D7F-443B-B839-8E58F9548206}" name="Marketing_Advertising" dataDxfId="22"/>
  </tableColumns>
  <tableStyleInfo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07E8DA2-5D78-4544-86E3-5A75774C90E9}" name="Table83" displayName="Table83" ref="AL12:AL15" totalsRowShown="0" headerRowDxfId="21" dataDxfId="20">
  <autoFilter ref="AL12:AL15" xr:uid="{C07E8DA2-5D78-4544-86E3-5A75774C90E9}"/>
  <tableColumns count="1">
    <tableColumn id="1" xr3:uid="{19DEEDBF-7B4D-4413-B478-09EAE2B64A9F}" name="Transport_Logistics" dataDxfId="19"/>
  </tableColumns>
  <tableStyleInfo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26848878-B12E-4C3D-A999-304DFB9A77E1}" name="Table84" displayName="Table84" ref="AM12:AM16" totalsRowShown="0" headerRowDxfId="18" dataDxfId="17">
  <autoFilter ref="AM12:AM16" xr:uid="{26848878-B12E-4C3D-A999-304DFB9A77E1}"/>
  <tableColumns count="1">
    <tableColumn id="1" xr3:uid="{41414137-A39A-4C55-809C-4636940421A7}" name="Employee_Staff_Costs" dataDxfId="16"/>
  </tableColumns>
  <tableStyleInfo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52F5779F-3E2A-44B4-9712-97A8FF550580}" name="Table85" displayName="Table85" ref="AN12:AN15" totalsRowShown="0" headerRowDxfId="15" dataDxfId="14">
  <autoFilter ref="AN12:AN15" xr:uid="{52F5779F-3E2A-44B4-9712-97A8FF550580}"/>
  <tableColumns count="1">
    <tableColumn id="1" xr3:uid="{B8DB730A-DF2F-453D-96C8-7BF24937845B}" name="Training_Development" dataDxfId="13"/>
  </tableColumns>
  <tableStyleInfo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FD3FEC2F-154E-4AE5-8E62-7E2E9C0374F5}" name="Table86" displayName="Table86" ref="AO12:AO15" totalsRowShown="0" headerRowDxfId="12" dataDxfId="11">
  <autoFilter ref="AO12:AO15" xr:uid="{FD3FEC2F-154E-4AE5-8E62-7E2E9C0374F5}"/>
  <tableColumns count="1">
    <tableColumn id="1" xr3:uid="{0D971398-CACE-4D2C-9616-8B2DDD7EDD25}" name="Professional_Fees" dataDxfId="10"/>
  </tableColumns>
  <tableStyleInfo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B55CC25-6BCE-41D0-800C-4DC4E1B3FFD1}" name="Table6" displayName="Table6" ref="A39:A43" totalsRowShown="0" headerRowDxfId="9" dataDxfId="8">
  <autoFilter ref="A39:A43" xr:uid="{7B55CC25-6BCE-41D0-800C-4DC4E1B3FFD1}"/>
  <tableColumns count="1">
    <tableColumn id="1" xr3:uid="{53917858-C5B9-4CBC-8476-8EAE24DDEC1D}" name="BILL_FREQUENCY" dataDxfId="7"/>
  </tableColumns>
  <tableStyleInfo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2ABC9E-6F21-460C-8E5B-C28F13486927}" name="Table4" displayName="Table4" ref="A48:A55" totalsRowShown="0" headerRowDxfId="6" dataDxfId="5">
  <autoFilter ref="A48:A55" xr:uid="{3B2ABC9E-6F21-460C-8E5B-C28F13486927}"/>
  <tableColumns count="1">
    <tableColumn id="1" xr3:uid="{E529A1CD-3349-4B81-968B-1B6440F8B485}" name="SAVINGS_GOAL_NAMES" dataDxfId="4"/>
  </tableColumns>
  <tableStyleInfo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6DAC0F5-B5CA-40A4-A58E-22165B976146}" name="Table7" displayName="Table7" ref="C39:C48" totalsRowShown="0" headerRowDxfId="3" dataDxfId="2" tableBorderDxfId="1">
  <autoFilter ref="C39:C48" xr:uid="{46DAC0F5-B5CA-40A4-A58E-22165B976146}"/>
  <sortState xmlns:xlrd2="http://schemas.microsoft.com/office/spreadsheetml/2017/richdata2" ref="C40:C48">
    <sortCondition ref="C40:C48"/>
  </sortState>
  <tableColumns count="1">
    <tableColumn id="1" xr3:uid="{1B0DCF4A-17C1-4916-A4A9-E57476B91F22}" name="BILL_NAM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26" Type="http://schemas.openxmlformats.org/officeDocument/2006/relationships/table" Target="../tables/table27.xml"/><Relationship Id="rId21" Type="http://schemas.openxmlformats.org/officeDocument/2006/relationships/table" Target="../tables/table22.xml"/><Relationship Id="rId42" Type="http://schemas.openxmlformats.org/officeDocument/2006/relationships/table" Target="../tables/table43.xml"/><Relationship Id="rId47" Type="http://schemas.openxmlformats.org/officeDocument/2006/relationships/table" Target="../tables/table48.xml"/><Relationship Id="rId63" Type="http://schemas.openxmlformats.org/officeDocument/2006/relationships/table" Target="../tables/table64.xml"/><Relationship Id="rId68" Type="http://schemas.openxmlformats.org/officeDocument/2006/relationships/table" Target="../tables/table69.xml"/><Relationship Id="rId16" Type="http://schemas.openxmlformats.org/officeDocument/2006/relationships/table" Target="../tables/table17.xml"/><Relationship Id="rId11" Type="http://schemas.openxmlformats.org/officeDocument/2006/relationships/table" Target="../tables/table12.xml"/><Relationship Id="rId24" Type="http://schemas.openxmlformats.org/officeDocument/2006/relationships/table" Target="../tables/table25.xml"/><Relationship Id="rId32" Type="http://schemas.openxmlformats.org/officeDocument/2006/relationships/table" Target="../tables/table33.xml"/><Relationship Id="rId37" Type="http://schemas.openxmlformats.org/officeDocument/2006/relationships/table" Target="../tables/table38.xml"/><Relationship Id="rId40" Type="http://schemas.openxmlformats.org/officeDocument/2006/relationships/table" Target="../tables/table41.xml"/><Relationship Id="rId45" Type="http://schemas.openxmlformats.org/officeDocument/2006/relationships/table" Target="../tables/table46.xml"/><Relationship Id="rId53" Type="http://schemas.openxmlformats.org/officeDocument/2006/relationships/table" Target="../tables/table54.xml"/><Relationship Id="rId58" Type="http://schemas.openxmlformats.org/officeDocument/2006/relationships/table" Target="../tables/table59.xml"/><Relationship Id="rId66" Type="http://schemas.openxmlformats.org/officeDocument/2006/relationships/table" Target="../tables/table67.xml"/><Relationship Id="rId74" Type="http://schemas.openxmlformats.org/officeDocument/2006/relationships/table" Target="../tables/table75.xml"/><Relationship Id="rId79" Type="http://schemas.openxmlformats.org/officeDocument/2006/relationships/table" Target="../tables/table80.xml"/><Relationship Id="rId5" Type="http://schemas.openxmlformats.org/officeDocument/2006/relationships/table" Target="../tables/table6.xml"/><Relationship Id="rId61" Type="http://schemas.openxmlformats.org/officeDocument/2006/relationships/table" Target="../tables/table62.xml"/><Relationship Id="rId19" Type="http://schemas.openxmlformats.org/officeDocument/2006/relationships/table" Target="../tables/table20.xml"/><Relationship Id="rId14" Type="http://schemas.openxmlformats.org/officeDocument/2006/relationships/table" Target="../tables/table15.xml"/><Relationship Id="rId22" Type="http://schemas.openxmlformats.org/officeDocument/2006/relationships/table" Target="../tables/table23.xml"/><Relationship Id="rId27" Type="http://schemas.openxmlformats.org/officeDocument/2006/relationships/table" Target="../tables/table28.xml"/><Relationship Id="rId30" Type="http://schemas.openxmlformats.org/officeDocument/2006/relationships/table" Target="../tables/table31.xml"/><Relationship Id="rId35" Type="http://schemas.openxmlformats.org/officeDocument/2006/relationships/table" Target="../tables/table36.xml"/><Relationship Id="rId43" Type="http://schemas.openxmlformats.org/officeDocument/2006/relationships/table" Target="../tables/table44.xml"/><Relationship Id="rId48" Type="http://schemas.openxmlformats.org/officeDocument/2006/relationships/table" Target="../tables/table49.xml"/><Relationship Id="rId56" Type="http://schemas.openxmlformats.org/officeDocument/2006/relationships/table" Target="../tables/table57.xml"/><Relationship Id="rId64" Type="http://schemas.openxmlformats.org/officeDocument/2006/relationships/table" Target="../tables/table65.xml"/><Relationship Id="rId69" Type="http://schemas.openxmlformats.org/officeDocument/2006/relationships/table" Target="../tables/table70.xml"/><Relationship Id="rId77" Type="http://schemas.openxmlformats.org/officeDocument/2006/relationships/table" Target="../tables/table78.xml"/><Relationship Id="rId8" Type="http://schemas.openxmlformats.org/officeDocument/2006/relationships/table" Target="../tables/table9.xml"/><Relationship Id="rId51" Type="http://schemas.openxmlformats.org/officeDocument/2006/relationships/table" Target="../tables/table52.xml"/><Relationship Id="rId72" Type="http://schemas.openxmlformats.org/officeDocument/2006/relationships/table" Target="../tables/table73.xml"/><Relationship Id="rId3" Type="http://schemas.openxmlformats.org/officeDocument/2006/relationships/table" Target="../tables/table4.xml"/><Relationship Id="rId12" Type="http://schemas.openxmlformats.org/officeDocument/2006/relationships/table" Target="../tables/table13.xml"/><Relationship Id="rId17" Type="http://schemas.openxmlformats.org/officeDocument/2006/relationships/table" Target="../tables/table18.xml"/><Relationship Id="rId25" Type="http://schemas.openxmlformats.org/officeDocument/2006/relationships/table" Target="../tables/table26.xml"/><Relationship Id="rId33" Type="http://schemas.openxmlformats.org/officeDocument/2006/relationships/table" Target="../tables/table34.xml"/><Relationship Id="rId38" Type="http://schemas.openxmlformats.org/officeDocument/2006/relationships/table" Target="../tables/table39.xml"/><Relationship Id="rId46" Type="http://schemas.openxmlformats.org/officeDocument/2006/relationships/table" Target="../tables/table47.xml"/><Relationship Id="rId59" Type="http://schemas.openxmlformats.org/officeDocument/2006/relationships/table" Target="../tables/table60.xml"/><Relationship Id="rId67" Type="http://schemas.openxmlformats.org/officeDocument/2006/relationships/table" Target="../tables/table68.xml"/><Relationship Id="rId20" Type="http://schemas.openxmlformats.org/officeDocument/2006/relationships/table" Target="../tables/table21.xml"/><Relationship Id="rId41" Type="http://schemas.openxmlformats.org/officeDocument/2006/relationships/table" Target="../tables/table42.xml"/><Relationship Id="rId54" Type="http://schemas.openxmlformats.org/officeDocument/2006/relationships/table" Target="../tables/table55.xml"/><Relationship Id="rId62" Type="http://schemas.openxmlformats.org/officeDocument/2006/relationships/table" Target="../tables/table63.xml"/><Relationship Id="rId70" Type="http://schemas.openxmlformats.org/officeDocument/2006/relationships/table" Target="../tables/table71.xml"/><Relationship Id="rId75" Type="http://schemas.openxmlformats.org/officeDocument/2006/relationships/table" Target="../tables/table76.xml"/><Relationship Id="rId1" Type="http://schemas.openxmlformats.org/officeDocument/2006/relationships/printerSettings" Target="../printerSettings/printerSettings5.bin"/><Relationship Id="rId6" Type="http://schemas.openxmlformats.org/officeDocument/2006/relationships/table" Target="../tables/table7.xml"/><Relationship Id="rId15" Type="http://schemas.openxmlformats.org/officeDocument/2006/relationships/table" Target="../tables/table16.xml"/><Relationship Id="rId23" Type="http://schemas.openxmlformats.org/officeDocument/2006/relationships/table" Target="../tables/table24.xml"/><Relationship Id="rId28" Type="http://schemas.openxmlformats.org/officeDocument/2006/relationships/table" Target="../tables/table29.xml"/><Relationship Id="rId36" Type="http://schemas.openxmlformats.org/officeDocument/2006/relationships/table" Target="../tables/table37.xml"/><Relationship Id="rId49" Type="http://schemas.openxmlformats.org/officeDocument/2006/relationships/table" Target="../tables/table50.xml"/><Relationship Id="rId57" Type="http://schemas.openxmlformats.org/officeDocument/2006/relationships/table" Target="../tables/table58.xml"/><Relationship Id="rId10" Type="http://schemas.openxmlformats.org/officeDocument/2006/relationships/table" Target="../tables/table11.xml"/><Relationship Id="rId31" Type="http://schemas.openxmlformats.org/officeDocument/2006/relationships/table" Target="../tables/table32.xml"/><Relationship Id="rId44" Type="http://schemas.openxmlformats.org/officeDocument/2006/relationships/table" Target="../tables/table45.xml"/><Relationship Id="rId52" Type="http://schemas.openxmlformats.org/officeDocument/2006/relationships/table" Target="../tables/table53.xml"/><Relationship Id="rId60" Type="http://schemas.openxmlformats.org/officeDocument/2006/relationships/table" Target="../tables/table61.xml"/><Relationship Id="rId65" Type="http://schemas.openxmlformats.org/officeDocument/2006/relationships/table" Target="../tables/table66.xml"/><Relationship Id="rId73" Type="http://schemas.openxmlformats.org/officeDocument/2006/relationships/table" Target="../tables/table74.xml"/><Relationship Id="rId78" Type="http://schemas.openxmlformats.org/officeDocument/2006/relationships/table" Target="../tables/table79.xml"/><Relationship Id="rId4" Type="http://schemas.openxmlformats.org/officeDocument/2006/relationships/table" Target="../tables/table5.xml"/><Relationship Id="rId9" Type="http://schemas.openxmlformats.org/officeDocument/2006/relationships/table" Target="../tables/table10.xml"/><Relationship Id="rId13" Type="http://schemas.openxmlformats.org/officeDocument/2006/relationships/table" Target="../tables/table14.xml"/><Relationship Id="rId18" Type="http://schemas.openxmlformats.org/officeDocument/2006/relationships/table" Target="../tables/table19.xml"/><Relationship Id="rId39" Type="http://schemas.openxmlformats.org/officeDocument/2006/relationships/table" Target="../tables/table40.xml"/><Relationship Id="rId34" Type="http://schemas.openxmlformats.org/officeDocument/2006/relationships/table" Target="../tables/table35.xml"/><Relationship Id="rId50" Type="http://schemas.openxmlformats.org/officeDocument/2006/relationships/table" Target="../tables/table51.xml"/><Relationship Id="rId55" Type="http://schemas.openxmlformats.org/officeDocument/2006/relationships/table" Target="../tables/table56.xml"/><Relationship Id="rId76" Type="http://schemas.openxmlformats.org/officeDocument/2006/relationships/table" Target="../tables/table77.xml"/><Relationship Id="rId7" Type="http://schemas.openxmlformats.org/officeDocument/2006/relationships/table" Target="../tables/table8.xml"/><Relationship Id="rId71" Type="http://schemas.openxmlformats.org/officeDocument/2006/relationships/table" Target="../tables/table72.xml"/><Relationship Id="rId2" Type="http://schemas.openxmlformats.org/officeDocument/2006/relationships/drawing" Target="../drawings/drawing6.xml"/><Relationship Id="rId29" Type="http://schemas.openxmlformats.org/officeDocument/2006/relationships/table" Target="../tables/table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3761D-663D-40EA-9490-120768C81D56}">
  <dimension ref="B1:E8"/>
  <sheetViews>
    <sheetView tabSelected="1" zoomScaleNormal="100" workbookViewId="0">
      <selection activeCell="E3" sqref="E3"/>
    </sheetView>
  </sheetViews>
  <sheetFormatPr defaultColWidth="21" defaultRowHeight="15.5" x14ac:dyDescent="0.35"/>
  <cols>
    <col min="1" max="1" width="15.54296875" style="6" customWidth="1"/>
    <col min="2" max="2" width="27.453125" style="13" customWidth="1"/>
    <col min="3" max="3" width="27.1796875" style="6" customWidth="1"/>
    <col min="4" max="16384" width="21" style="6"/>
  </cols>
  <sheetData>
    <row r="1" spans="2:5" ht="22" customHeight="1" x14ac:dyDescent="0.35">
      <c r="B1" s="4" t="s">
        <v>280</v>
      </c>
      <c r="C1" s="5"/>
      <c r="E1" s="5"/>
    </row>
    <row r="2" spans="2:5" ht="21" x14ac:dyDescent="0.35">
      <c r="B2" s="7" t="s">
        <v>0</v>
      </c>
      <c r="C2" s="14">
        <f>SUM('Annual Summary'!C9:C20)</f>
        <v>14500</v>
      </c>
      <c r="E2" s="8"/>
    </row>
    <row r="3" spans="2:5" ht="21" x14ac:dyDescent="0.35">
      <c r="B3" s="7" t="s">
        <v>1</v>
      </c>
      <c r="C3" s="15">
        <f>SUM('Annual Summary'!D9:D20)</f>
        <v>22800</v>
      </c>
      <c r="E3" s="8"/>
    </row>
    <row r="4" spans="2:5" ht="21" x14ac:dyDescent="0.35">
      <c r="B4" s="7" t="s">
        <v>2</v>
      </c>
      <c r="C4" s="16">
        <f>C2-C3</f>
        <v>-8300</v>
      </c>
    </row>
    <row r="5" spans="2:5" ht="21" x14ac:dyDescent="0.35">
      <c r="B5" s="9"/>
      <c r="C5" s="10"/>
      <c r="D5" s="10"/>
    </row>
    <row r="6" spans="2:5" ht="13" customHeight="1" x14ac:dyDescent="0.35">
      <c r="B6" s="9"/>
      <c r="C6" s="11"/>
      <c r="D6" s="11"/>
    </row>
    <row r="7" spans="2:5" ht="18.5" x14ac:dyDescent="0.35">
      <c r="B7" s="12"/>
    </row>
    <row r="8" spans="2:5" ht="21" x14ac:dyDescent="0.35">
      <c r="B8" s="9"/>
      <c r="C8" s="10"/>
    </row>
  </sheetData>
  <sheetProtection algorithmName="SHA-512" hashValue="tdt9LsELVFoDF/+ylklwkwpfFCQNAAUDS59GgrwG0se3TwupbXXk3k3eowq4TjPBwYVK4OhYA6SRGDSmGQb71Q==" saltValue="ztbwB5aStEUqoBkFj+QL7w==" spinCount="100000" sheet="1"/>
  <conditionalFormatting sqref="C4">
    <cfRule type="cellIs" dxfId="282" priority="1" operator="equal">
      <formula>0</formula>
    </cfRule>
    <cfRule type="cellIs" dxfId="281" priority="2" operator="greaterThan">
      <formula>0</formula>
    </cfRule>
    <cfRule type="cellIs" dxfId="280" priority="3" operator="lessThan">
      <formula>0</formula>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51431-98CD-4A08-B065-5E935C4D7E16}">
  <dimension ref="A1:I20"/>
  <sheetViews>
    <sheetView zoomScale="80" zoomScaleNormal="80" workbookViewId="0">
      <selection activeCell="F7" sqref="F7"/>
    </sheetView>
  </sheetViews>
  <sheetFormatPr defaultColWidth="22" defaultRowHeight="18.5" x14ac:dyDescent="0.45"/>
  <cols>
    <col min="1" max="1" width="22" style="17"/>
    <col min="2" max="2" width="26.1796875" style="23" customWidth="1"/>
    <col min="3" max="3" width="24.54296875" style="23" customWidth="1"/>
    <col min="4" max="5" width="22" style="23"/>
    <col min="6" max="6" width="23.26953125" style="23" customWidth="1"/>
    <col min="7" max="7" width="22" style="23"/>
    <col min="8" max="8" width="22.453125" style="23" customWidth="1"/>
    <col min="9" max="9" width="22" style="24"/>
    <col min="10" max="16384" width="22" style="17"/>
  </cols>
  <sheetData>
    <row r="1" spans="1:9" s="21" customFormat="1" ht="29" customHeight="1" x14ac:dyDescent="0.45">
      <c r="A1" s="17"/>
      <c r="B1" s="18" t="s">
        <v>276</v>
      </c>
      <c r="C1" s="32" t="str">
        <f ca="1">(TEXT(TODAY(), "mmmm, yyyy"))</f>
        <v>January, 2026</v>
      </c>
      <c r="D1" s="19"/>
      <c r="E1" s="19"/>
      <c r="F1" s="19"/>
      <c r="G1" s="19"/>
      <c r="H1" s="19"/>
      <c r="I1" s="20"/>
    </row>
    <row r="2" spans="1:9" x14ac:dyDescent="0.45">
      <c r="B2" s="22" t="s">
        <v>278</v>
      </c>
      <c r="C2" s="33">
        <f ca="1">IF($B$9="", 0, IFERROR(INDEX(Table3[Actual Income], MATCH(TEXT(TODAY(), "mmmm"), Table3[Month], 0)),0))</f>
        <v>0</v>
      </c>
    </row>
    <row r="3" spans="1:9" x14ac:dyDescent="0.45">
      <c r="B3" s="22" t="s">
        <v>279</v>
      </c>
      <c r="C3" s="34">
        <f ca="1">IF($B$9="", 0, IFERROR(INDEX(Table3[Actual Expenses], MATCH(TEXT(TODAY(), "mmmm"), Table3[Month], 0)), 0))</f>
        <v>0</v>
      </c>
    </row>
    <row r="4" spans="1:9" ht="21" x14ac:dyDescent="0.45">
      <c r="B4" s="25" t="s">
        <v>277</v>
      </c>
      <c r="C4" s="35">
        <f ca="1">(C2-C3)</f>
        <v>0</v>
      </c>
    </row>
    <row r="5" spans="1:9" x14ac:dyDescent="0.45">
      <c r="B5" s="26"/>
    </row>
    <row r="7" spans="1:9" ht="26" x14ac:dyDescent="0.45">
      <c r="B7" s="27" t="s">
        <v>286</v>
      </c>
      <c r="C7" s="28"/>
    </row>
    <row r="8" spans="1:9" x14ac:dyDescent="0.45">
      <c r="B8" s="29" t="s">
        <v>7</v>
      </c>
      <c r="C8" s="30" t="s">
        <v>8</v>
      </c>
      <c r="D8" s="30" t="s">
        <v>9</v>
      </c>
      <c r="E8" s="31" t="s">
        <v>277</v>
      </c>
      <c r="F8" s="24"/>
      <c r="G8" s="17"/>
      <c r="H8" s="17"/>
      <c r="I8" s="17"/>
    </row>
    <row r="9" spans="1:9" x14ac:dyDescent="0.45">
      <c r="B9" s="67" t="str" cm="1">
        <f t="array" ref="B9">IFERROR(INDEX(Expense[Month], MATCH(0, IF(Expense[Month]&lt;&gt;"", COUNTIF($B$8:B8, Expense[Month]), 1), 0)), IFERROR(INDEX(Table1[Month], MATCH(0, IF(Table1[Month]&lt;&gt;"", COUNTIF($B$8:B8,Table1[Month]), 1), 0)),""))</f>
        <v>November</v>
      </c>
      <c r="C9" s="36">
        <f>SUMIF('Income Tracker'!C:C, 'Annual Summary'!B9, 'Income Tracker'!H:H)</f>
        <v>14500</v>
      </c>
      <c r="D9" s="36">
        <f>SUMIF('Expenses Tracker'!C:C, 'Annual Summary'!B9, 'Expenses Tracker'!H:H)</f>
        <v>22800</v>
      </c>
      <c r="E9" s="37">
        <f>(Table3[[#This Row],[Actual Income]]-Table3[[#This Row],[Actual Expenses]])</f>
        <v>-8300</v>
      </c>
      <c r="F9" s="24"/>
      <c r="G9" s="17"/>
      <c r="H9" s="17"/>
      <c r="I9" s="17"/>
    </row>
    <row r="10" spans="1:9" x14ac:dyDescent="0.45">
      <c r="B10" s="67" t="str" cm="1">
        <f t="array" ref="B10">IFERROR(INDEX(Expense[Month], MATCH(0, IF(Expense[Month]&lt;&gt;"", COUNTIF($B$8:B9, Expense[Month]), 1), 0)), IFERROR(INDEX(Table1[Month], MATCH(0, IF(Table1[Month]&lt;&gt;"", COUNTIF($B$8:B9,Table1[Month]), 1), 0)),""))</f>
        <v/>
      </c>
      <c r="C10" s="36">
        <f>SUMIF('Income Tracker'!C:C, 'Annual Summary'!B10, 'Income Tracker'!H:H)</f>
        <v>0</v>
      </c>
      <c r="D10" s="36">
        <f>SUMIF('Expenses Tracker'!C:C, 'Annual Summary'!B10, 'Expenses Tracker'!H:H)</f>
        <v>0</v>
      </c>
      <c r="E10" s="37">
        <f>(Table3[[#This Row],[Actual Income]]-Table3[[#This Row],[Actual Expenses]])</f>
        <v>0</v>
      </c>
      <c r="F10" s="24"/>
      <c r="G10" s="17"/>
      <c r="H10" s="17"/>
      <c r="I10" s="17"/>
    </row>
    <row r="11" spans="1:9" x14ac:dyDescent="0.45">
      <c r="B11" s="67" t="str" cm="1">
        <f t="array" ref="B11">IFERROR(INDEX(Expense[Month], MATCH(0, IF(Expense[Month]&lt;&gt;"", COUNTIF($B$8:B10, Expense[Month]), 1), 0)), IFERROR(INDEX(Table1[Month], MATCH(0, IF(Table1[Month]&lt;&gt;"", COUNTIF($B$8:B10,Table1[Month]), 1), 0)),""))</f>
        <v/>
      </c>
      <c r="C11" s="36">
        <f>SUMIF('Income Tracker'!C:C, 'Annual Summary'!B11, 'Income Tracker'!H:H)</f>
        <v>0</v>
      </c>
      <c r="D11" s="36">
        <f>SUMIF('Expenses Tracker'!C:C, 'Annual Summary'!B11, 'Expenses Tracker'!H:H)</f>
        <v>0</v>
      </c>
      <c r="E11" s="37">
        <f>(Table3[[#This Row],[Actual Income]]-Table3[[#This Row],[Actual Expenses]])</f>
        <v>0</v>
      </c>
      <c r="F11" s="24"/>
      <c r="G11" s="17"/>
      <c r="H11" s="17"/>
      <c r="I11" s="17"/>
    </row>
    <row r="12" spans="1:9" x14ac:dyDescent="0.45">
      <c r="B12" s="67" t="str" cm="1">
        <f t="array" ref="B12">IFERROR(INDEX(Expense[Month], MATCH(0, IF(Expense[Month]&lt;&gt;"", COUNTIF($B$8:B11, Expense[Month]), 1), 0)), IFERROR(INDEX(Table1[Month], MATCH(0, IF(Table1[Month]&lt;&gt;"", COUNTIF($B$8:B11,Table1[Month]), 1), 0)),""))</f>
        <v/>
      </c>
      <c r="C12" s="36">
        <f>SUMIF('Income Tracker'!C:C, 'Annual Summary'!B12, 'Income Tracker'!H:H)</f>
        <v>0</v>
      </c>
      <c r="D12" s="36">
        <f>SUMIF('Expenses Tracker'!C:C, 'Annual Summary'!B12, 'Expenses Tracker'!H:H)</f>
        <v>0</v>
      </c>
      <c r="E12" s="37">
        <f>(Table3[[#This Row],[Actual Income]]-Table3[[#This Row],[Actual Expenses]])</f>
        <v>0</v>
      </c>
      <c r="F12" s="24"/>
      <c r="G12" s="17"/>
      <c r="H12" s="17"/>
      <c r="I12" s="17"/>
    </row>
    <row r="13" spans="1:9" x14ac:dyDescent="0.45">
      <c r="B13" s="67" t="str" cm="1">
        <f t="array" ref="B13">IFERROR(INDEX(Expense[Month], MATCH(0, IF(Expense[Month]&lt;&gt;"", COUNTIF($B$8:B12, Expense[Month]), 1), 0)), IFERROR(INDEX(Table1[Month], MATCH(0, IF(Table1[Month]&lt;&gt;"", COUNTIF($B$8:B12,Table1[Month]), 1), 0)),""))</f>
        <v/>
      </c>
      <c r="C13" s="36">
        <f>SUMIF('Income Tracker'!C:C, 'Annual Summary'!B13, 'Income Tracker'!H:H)</f>
        <v>0</v>
      </c>
      <c r="D13" s="36">
        <f>SUMIF('Expenses Tracker'!C:C, 'Annual Summary'!B13, 'Expenses Tracker'!H:H)</f>
        <v>0</v>
      </c>
      <c r="E13" s="37">
        <f>(Table3[[#This Row],[Actual Income]]-Table3[[#This Row],[Actual Expenses]])</f>
        <v>0</v>
      </c>
      <c r="F13" s="24"/>
      <c r="G13" s="17"/>
      <c r="H13" s="17"/>
      <c r="I13" s="17"/>
    </row>
    <row r="14" spans="1:9" x14ac:dyDescent="0.45">
      <c r="B14" s="67" t="str" cm="1">
        <f t="array" ref="B14">IFERROR(INDEX(Expense[Month], MATCH(0, IF(Expense[Month]&lt;&gt;"", COUNTIF($B$8:B13, Expense[Month]), 1), 0)), IFERROR(INDEX(Table1[Month], MATCH(0, IF(Table1[Month]&lt;&gt;"", COUNTIF($B$8:B13,Table1[Month]), 1), 0)),""))</f>
        <v/>
      </c>
      <c r="C14" s="36">
        <f>SUMIF('Income Tracker'!C:C, 'Annual Summary'!B14, 'Income Tracker'!H:H)</f>
        <v>0</v>
      </c>
      <c r="D14" s="36">
        <f>SUMIF('Expenses Tracker'!C:C, 'Annual Summary'!B14, 'Expenses Tracker'!H:H)</f>
        <v>0</v>
      </c>
      <c r="E14" s="37">
        <f>(Table3[[#This Row],[Actual Income]]-Table3[[#This Row],[Actual Expenses]])</f>
        <v>0</v>
      </c>
      <c r="F14" s="24"/>
      <c r="G14" s="17"/>
      <c r="H14" s="17"/>
      <c r="I14" s="17"/>
    </row>
    <row r="15" spans="1:9" x14ac:dyDescent="0.45">
      <c r="B15" s="67" t="str" cm="1">
        <f t="array" ref="B15">IFERROR(INDEX(Expense[Month], MATCH(0, IF(Expense[Month]&lt;&gt;"", COUNTIF($B$8:B14, Expense[Month]), 1), 0)), IFERROR(INDEX(Table1[Month], MATCH(0, IF(Table1[Month]&lt;&gt;"", COUNTIF($B$8:B14,Table1[Month]), 1), 0)),""))</f>
        <v/>
      </c>
      <c r="C15" s="36">
        <f>SUMIF('Income Tracker'!C:C, 'Annual Summary'!B15, 'Income Tracker'!H:H)</f>
        <v>0</v>
      </c>
      <c r="D15" s="36">
        <f>SUMIF('Expenses Tracker'!C:C, 'Annual Summary'!B15, 'Expenses Tracker'!H:H)</f>
        <v>0</v>
      </c>
      <c r="E15" s="37">
        <f>(Table3[[#This Row],[Actual Income]]-Table3[[#This Row],[Actual Expenses]])</f>
        <v>0</v>
      </c>
      <c r="F15" s="24"/>
      <c r="G15" s="17"/>
      <c r="H15" s="17"/>
      <c r="I15" s="17"/>
    </row>
    <row r="16" spans="1:9" x14ac:dyDescent="0.45">
      <c r="B16" s="67" t="str" cm="1">
        <f t="array" ref="B16">IFERROR(INDEX(Expense[Month], MATCH(0, IF(Expense[Month]&lt;&gt;"", COUNTIF($B$8:B15, Expense[Month]), 1), 0)), IFERROR(INDEX(Table1[Month], MATCH(0, IF(Table1[Month]&lt;&gt;"", COUNTIF($B$8:B15,Table1[Month]), 1), 0)),""))</f>
        <v/>
      </c>
      <c r="C16" s="36">
        <f>SUMIF('Income Tracker'!C:C, 'Annual Summary'!B16, 'Income Tracker'!H:H)</f>
        <v>0</v>
      </c>
      <c r="D16" s="36">
        <f>SUMIF('Expenses Tracker'!C:C, 'Annual Summary'!B16, 'Expenses Tracker'!H:H)</f>
        <v>0</v>
      </c>
      <c r="E16" s="37">
        <f>(Table3[[#This Row],[Actual Income]]-Table3[[#This Row],[Actual Expenses]])</f>
        <v>0</v>
      </c>
      <c r="F16" s="24"/>
      <c r="G16" s="17"/>
      <c r="H16" s="17"/>
      <c r="I16" s="17"/>
    </row>
    <row r="17" spans="2:9" x14ac:dyDescent="0.45">
      <c r="B17" s="67" t="str" cm="1">
        <f t="array" ref="B17">IFERROR(INDEX(Expense[Month], MATCH(0, IF(Expense[Month]&lt;&gt;"", COUNTIF($B$8:B16, Expense[Month]), 1), 0)), IFERROR(INDEX(Table1[Month], MATCH(0, IF(Table1[Month]&lt;&gt;"", COUNTIF($B$8:B16,Table1[Month]), 1), 0)),""))</f>
        <v/>
      </c>
      <c r="C17" s="36">
        <f>SUMIF('Income Tracker'!C:C, 'Annual Summary'!B17, 'Income Tracker'!H:H)</f>
        <v>0</v>
      </c>
      <c r="D17" s="36">
        <f>SUMIF('Expenses Tracker'!C:C, 'Annual Summary'!B17, 'Expenses Tracker'!H:H)</f>
        <v>0</v>
      </c>
      <c r="E17" s="37">
        <f>(Table3[[#This Row],[Actual Income]]-Table3[[#This Row],[Actual Expenses]])</f>
        <v>0</v>
      </c>
      <c r="F17" s="24"/>
      <c r="G17" s="17"/>
      <c r="H17" s="17"/>
      <c r="I17" s="17"/>
    </row>
    <row r="18" spans="2:9" x14ac:dyDescent="0.45">
      <c r="B18" s="67" t="str" cm="1">
        <f t="array" ref="B18">IFERROR(INDEX(Expense[Month], MATCH(0, IF(Expense[Month]&lt;&gt;"", COUNTIF($B$8:B17, Expense[Month]), 1), 0)), IFERROR(INDEX(Table1[Month], MATCH(0, IF(Table1[Month]&lt;&gt;"", COUNTIF($B$8:B17,Table1[Month]), 1), 0)),""))</f>
        <v/>
      </c>
      <c r="C18" s="36">
        <f>SUMIF('Income Tracker'!C:C, 'Annual Summary'!B18, 'Income Tracker'!H:H)</f>
        <v>0</v>
      </c>
      <c r="D18" s="36">
        <f>SUMIF('Expenses Tracker'!C:C, 'Annual Summary'!B18, 'Expenses Tracker'!H:H)</f>
        <v>0</v>
      </c>
      <c r="E18" s="37">
        <f>(Table3[[#This Row],[Actual Income]]-Table3[[#This Row],[Actual Expenses]])</f>
        <v>0</v>
      </c>
      <c r="F18" s="24"/>
      <c r="G18" s="17"/>
      <c r="H18" s="17"/>
      <c r="I18" s="17"/>
    </row>
    <row r="19" spans="2:9" x14ac:dyDescent="0.45">
      <c r="B19" s="67" t="str" cm="1">
        <f t="array" ref="B19">IFERROR(INDEX(Expense[Month], MATCH(0, IF(Expense[Month]&lt;&gt;"", COUNTIF($B$8:B18, Expense[Month]), 1), 0)), IFERROR(INDEX(Table1[Month], MATCH(0, IF(Table1[Month]&lt;&gt;"", COUNTIF($B$8:B18,Table1[Month]), 1), 0)),""))</f>
        <v/>
      </c>
      <c r="C19" s="36">
        <f>SUMIF('Income Tracker'!C:C, 'Annual Summary'!B19, 'Income Tracker'!H:H)</f>
        <v>0</v>
      </c>
      <c r="D19" s="36">
        <f>SUMIF('Expenses Tracker'!C:C, 'Annual Summary'!B19, 'Expenses Tracker'!H:H)</f>
        <v>0</v>
      </c>
      <c r="E19" s="37">
        <f>(Table3[[#This Row],[Actual Income]]-Table3[[#This Row],[Actual Expenses]])</f>
        <v>0</v>
      </c>
      <c r="F19" s="24"/>
      <c r="G19" s="17"/>
      <c r="H19" s="17"/>
      <c r="I19" s="17"/>
    </row>
    <row r="20" spans="2:9" x14ac:dyDescent="0.45">
      <c r="B20" s="68" t="str" cm="1">
        <f t="array" ref="B20">IFERROR(INDEX(Expense[Month], MATCH(0, IF(Expense[Month]&lt;&gt;"", COUNTIF($B$8:B19, Expense[Month]), 1), 0)), IFERROR(INDEX(Table1[Month], MATCH(0, IF(Table1[Month]&lt;&gt;"", COUNTIF($B$8:B19,Table1[Month]), 1), 0)),""))</f>
        <v/>
      </c>
      <c r="C20" s="38">
        <f>SUMIF('Income Tracker'!C:C, 'Annual Summary'!B20, 'Income Tracker'!H:H)</f>
        <v>0</v>
      </c>
      <c r="D20" s="38">
        <f>SUMIF('Expenses Tracker'!C:C, 'Annual Summary'!B20, 'Expenses Tracker'!H:H)</f>
        <v>0</v>
      </c>
      <c r="E20" s="39">
        <f>(Table3[[#This Row],[Actual Income]]-Table3[[#This Row],[Actual Expenses]])</f>
        <v>0</v>
      </c>
      <c r="F20" s="24"/>
      <c r="G20" s="17"/>
      <c r="H20" s="17"/>
      <c r="I20" s="17"/>
    </row>
  </sheetData>
  <sheetProtection algorithmName="SHA-512" hashValue="EJptXmR20+y2m9+aLL947V93CkfYXsaK+iwJ0FhDXpjK4hwGiAsms14K8TJMBtpsWSSnroD53+DaO84u+ArGFQ==" saltValue="vE3fKmcwQO/rXZqH+hKB/g==" spinCount="100000" sheet="1" objects="1" scenarios="1"/>
  <phoneticPr fontId="5" type="noConversion"/>
  <conditionalFormatting sqref="E9:E20">
    <cfRule type="cellIs" dxfId="279" priority="2" operator="equal">
      <formula>0</formula>
    </cfRule>
    <cfRule type="cellIs" dxfId="278" priority="6" operator="lessThan">
      <formula>0</formula>
    </cfRule>
    <cfRule type="cellIs" dxfId="277" priority="7" operator="greaterThan">
      <formula>0</formula>
    </cfRule>
  </conditionalFormatting>
  <conditionalFormatting sqref="C4">
    <cfRule type="cellIs" dxfId="276" priority="3" operator="equal">
      <formula>0</formula>
    </cfRule>
    <cfRule type="cellIs" dxfId="275" priority="4" operator="lessThan">
      <formula>0</formula>
    </cfRule>
    <cfRule type="cellIs" dxfId="274" priority="5" operator="greaterThan">
      <formula>0</formula>
    </cfRule>
  </conditionalFormatting>
  <conditionalFormatting sqref="B9:B20">
    <cfRule type="expression" dxfId="273" priority="1">
      <formula>TEXT(B9, "mmmm")=TEXT(TODAY(), "mmmm")</formula>
    </cfRule>
  </conditionalFormatting>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90523-C586-4E6A-AD53-3950A72B7924}">
  <dimension ref="B1:I8"/>
  <sheetViews>
    <sheetView workbookViewId="0">
      <pane ySplit="1" topLeftCell="A2" activePane="bottomLeft" state="frozen"/>
      <selection activeCell="E4" sqref="E4"/>
      <selection pane="bottomLeft" activeCell="D6" sqref="D6"/>
    </sheetView>
  </sheetViews>
  <sheetFormatPr defaultColWidth="16.54296875" defaultRowHeight="14.5" x14ac:dyDescent="0.35"/>
  <cols>
    <col min="1" max="1" width="16.54296875" style="17"/>
    <col min="2" max="3" width="16.54296875" style="6"/>
    <col min="4" max="4" width="18.6328125" style="6" bestFit="1" customWidth="1"/>
    <col min="5" max="5" width="23.453125" style="6" customWidth="1"/>
    <col min="6" max="6" width="24.1796875" style="40" customWidth="1"/>
    <col min="7" max="8" width="16.54296875" style="41"/>
    <col min="9" max="9" width="16.54296875" style="6"/>
    <col min="10" max="16384" width="16.54296875" style="17"/>
  </cols>
  <sheetData>
    <row r="1" spans="2:9" ht="18.5" x14ac:dyDescent="0.35">
      <c r="B1" s="29" t="s">
        <v>10</v>
      </c>
      <c r="C1" s="30" t="s">
        <v>7</v>
      </c>
      <c r="D1" s="30" t="s">
        <v>3</v>
      </c>
      <c r="E1" s="30" t="s">
        <v>197</v>
      </c>
      <c r="F1" s="42" t="s">
        <v>12</v>
      </c>
      <c r="G1" s="43" t="s">
        <v>4</v>
      </c>
      <c r="H1" s="43" t="s">
        <v>5</v>
      </c>
      <c r="I1" s="31" t="s">
        <v>6</v>
      </c>
    </row>
    <row r="2" spans="2:9" x14ac:dyDescent="0.35">
      <c r="B2" s="44">
        <v>45962</v>
      </c>
      <c r="C2" s="69" t="str">
        <f>IF(Expense[[#This Row],[Date]]="","", TEXT(Expense[[#This Row],[Date]], "mmmm"))</f>
        <v>November</v>
      </c>
      <c r="D2" s="45" t="s">
        <v>26</v>
      </c>
      <c r="E2" s="45" t="s">
        <v>52</v>
      </c>
      <c r="F2" s="46" t="s">
        <v>148</v>
      </c>
      <c r="G2" s="47">
        <v>10000</v>
      </c>
      <c r="H2" s="47">
        <v>15000</v>
      </c>
      <c r="I2" s="65">
        <f t="shared" ref="I2:I7" si="0">G2-H2</f>
        <v>-5000</v>
      </c>
    </row>
    <row r="3" spans="2:9" x14ac:dyDescent="0.35">
      <c r="B3" s="44">
        <v>45962</v>
      </c>
      <c r="C3" s="69" t="str">
        <f>IF(Expense[[#This Row],[Date]]="","", TEXT(Expense[[#This Row],[Date]], "mmmm"))</f>
        <v>November</v>
      </c>
      <c r="D3" s="45" t="s">
        <v>29</v>
      </c>
      <c r="E3" s="45" t="s">
        <v>62</v>
      </c>
      <c r="F3" s="46" t="s">
        <v>192</v>
      </c>
      <c r="G3" s="47">
        <v>5000</v>
      </c>
      <c r="H3" s="47">
        <v>4500</v>
      </c>
      <c r="I3" s="65">
        <f t="shared" si="0"/>
        <v>500</v>
      </c>
    </row>
    <row r="4" spans="2:9" x14ac:dyDescent="0.35">
      <c r="B4" s="44">
        <v>45963</v>
      </c>
      <c r="C4" s="69" t="str">
        <f>IF(Expense[[#This Row],[Date]]="","", TEXT(Expense[[#This Row],[Date]], "mmmm"))</f>
        <v>November</v>
      </c>
      <c r="D4" s="45" t="s">
        <v>30</v>
      </c>
      <c r="E4" s="45" t="s">
        <v>64</v>
      </c>
      <c r="F4" s="46" t="s">
        <v>196</v>
      </c>
      <c r="G4" s="47">
        <v>2000</v>
      </c>
      <c r="H4" s="47">
        <v>1500</v>
      </c>
      <c r="I4" s="65">
        <f t="shared" si="0"/>
        <v>500</v>
      </c>
    </row>
    <row r="5" spans="2:9" x14ac:dyDescent="0.35">
      <c r="B5" s="44">
        <v>45963</v>
      </c>
      <c r="C5" s="69" t="str">
        <f>IF(Expense[[#This Row],[Date]]="","", TEXT(Expense[[#This Row],[Date]], "mmmm"))</f>
        <v>November</v>
      </c>
      <c r="D5" s="45" t="s">
        <v>22</v>
      </c>
      <c r="E5" s="45" t="s">
        <v>31</v>
      </c>
      <c r="F5" s="46" t="s">
        <v>71</v>
      </c>
      <c r="G5" s="47">
        <v>800</v>
      </c>
      <c r="H5" s="47">
        <v>900</v>
      </c>
      <c r="I5" s="65">
        <f t="shared" si="0"/>
        <v>-100</v>
      </c>
    </row>
    <row r="6" spans="2:9" x14ac:dyDescent="0.35">
      <c r="B6" s="44">
        <v>45963</v>
      </c>
      <c r="C6" s="69" t="str">
        <f>IF(Expense[[#This Row],[Date]]="","", TEXT(Expense[[#This Row],[Date]], "mmmm"))</f>
        <v>November</v>
      </c>
      <c r="D6" s="45" t="s">
        <v>23</v>
      </c>
      <c r="E6" s="45" t="s">
        <v>56</v>
      </c>
      <c r="F6" s="46" t="s">
        <v>95</v>
      </c>
      <c r="G6" s="47">
        <v>900</v>
      </c>
      <c r="H6" s="47">
        <v>900</v>
      </c>
      <c r="I6" s="66">
        <f t="shared" si="0"/>
        <v>0</v>
      </c>
    </row>
    <row r="7" spans="2:9" x14ac:dyDescent="0.35">
      <c r="B7" s="44"/>
      <c r="C7" s="69" t="str">
        <f>IF(Expense[[#This Row],[Date]]="","", TEXT(Expense[[#This Row],[Date]], "mmmm"))</f>
        <v/>
      </c>
      <c r="D7" s="45"/>
      <c r="E7" s="45"/>
      <c r="F7" s="46"/>
      <c r="G7" s="47"/>
      <c r="H7" s="47"/>
      <c r="I7" s="66">
        <f t="shared" si="0"/>
        <v>0</v>
      </c>
    </row>
    <row r="8" spans="2:9" x14ac:dyDescent="0.35">
      <c r="B8" s="72"/>
    </row>
  </sheetData>
  <sheetProtection algorithmName="SHA-512" hashValue="O7lFquKfbFp+sVQFCpuAqnUFC+Vs5LVURqqhzwscG/VPbOUiF668hSkRZmFYIpr9m+iCokN10HrrrAS6XZWinQ==" saltValue="FVKnQxkw//EYQdb1n+yDxQ==" spinCount="100000" sheet="1" objects="1" scenarios="1" selectLockedCells="1"/>
  <conditionalFormatting sqref="I2:I7">
    <cfRule type="cellIs" dxfId="263" priority="1" operator="equal">
      <formula>0</formula>
    </cfRule>
    <cfRule type="cellIs" dxfId="262" priority="2" operator="lessThan">
      <formula>0</formula>
    </cfRule>
    <cfRule type="cellIs" dxfId="261" priority="3" operator="greaterThan">
      <formula>0</formula>
    </cfRule>
  </conditionalFormatting>
  <dataValidations count="4">
    <dataValidation type="date" allowBlank="1" showInputMessage="1" showErrorMessage="1" error="Please enter a valid date(YYYY/MM/DD)" prompt="Valid date format: YYYY/MM/DD" sqref="B2:B1048576" xr:uid="{C6A1D3FB-4413-44B8-AC48-ECFFD7BCFE51}">
      <formula1>DATE(1900,1,1)</formula1>
      <formula2>DATE(9999,12,31)</formula2>
    </dataValidation>
    <dataValidation type="custom" allowBlank="1" showInputMessage="1" showErrorMessage="1" error="Kindly enter a Date before typing an amount" promptTitle="Date Required" prompt="Kindly enter a Date before typing an amount." sqref="H2:H1048576" xr:uid="{F09F5A6E-B3D8-4659-A01C-4F6091302A9D}">
      <formula1>B2:B11&lt;&gt;""</formula1>
    </dataValidation>
    <dataValidation type="list" allowBlank="1" showInputMessage="1" showErrorMessage="1" sqref="E2:E1048576" xr:uid="{352B9812-8B2F-4A30-AD8F-63F6757FB45A}">
      <formula1>INDIRECT($D2)</formula1>
    </dataValidation>
    <dataValidation type="list" allowBlank="1" showInputMessage="1" showErrorMessage="1" sqref="F2:F1048576" xr:uid="{C3AED309-C2F2-4C65-B11A-B991278B432E}">
      <formula1>INDIRECT($E2)</formula1>
    </dataValidation>
  </dataValidations>
  <pageMargins left="0.7" right="0.7" top="0.75" bottom="0.75" header="0.3" footer="0.3"/>
  <pageSetup orientation="portrait" r:id="rId1"/>
  <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63290655-8162-4D73-B86A-313E3C85EE97}">
          <x14:formula1>
            <xm:f>'Dropdown Lists'!$A$2:$I$2</xm:f>
          </x14:formula1>
          <xm:sqref>D2:D1048576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97533-23F9-49FA-8877-5F03920371AD}">
  <dimension ref="B4:I15"/>
  <sheetViews>
    <sheetView workbookViewId="0">
      <pane ySplit="4" topLeftCell="A5" activePane="bottomLeft" state="frozen"/>
      <selection activeCell="E4" sqref="E4"/>
      <selection pane="bottomLeft" activeCell="E7" sqref="E7"/>
    </sheetView>
  </sheetViews>
  <sheetFormatPr defaultColWidth="16.81640625" defaultRowHeight="14.5" x14ac:dyDescent="0.35"/>
  <cols>
    <col min="1" max="3" width="16.81640625" style="17"/>
    <col min="4" max="4" width="21.1796875" style="17" customWidth="1"/>
    <col min="5" max="16384" width="16.81640625" style="17"/>
  </cols>
  <sheetData>
    <row r="4" spans="2:9" ht="18.5" x14ac:dyDescent="0.35">
      <c r="B4" s="29" t="s">
        <v>10</v>
      </c>
      <c r="C4" s="30" t="s">
        <v>7</v>
      </c>
      <c r="D4" s="30" t="s">
        <v>11</v>
      </c>
      <c r="E4" s="30" t="s">
        <v>197</v>
      </c>
      <c r="F4" s="30" t="s">
        <v>12</v>
      </c>
      <c r="G4" s="30" t="s">
        <v>289</v>
      </c>
      <c r="H4" s="30" t="s">
        <v>5</v>
      </c>
      <c r="I4" s="31" t="s">
        <v>6</v>
      </c>
    </row>
    <row r="5" spans="2:9" x14ac:dyDescent="0.35">
      <c r="B5" s="54">
        <v>45962</v>
      </c>
      <c r="C5" s="70" t="str">
        <f>IF(Table1[[#This Row],[Date]]="","", TEXT(Table1[[#This Row],[Date]], "mmmm"))</f>
        <v>November</v>
      </c>
      <c r="D5" s="48" t="s">
        <v>220</v>
      </c>
      <c r="E5" s="48" t="s">
        <v>221</v>
      </c>
      <c r="F5" s="48" t="s">
        <v>257</v>
      </c>
      <c r="G5" s="49">
        <v>9000</v>
      </c>
      <c r="H5" s="49">
        <v>8500</v>
      </c>
      <c r="I5" s="52">
        <f>H5-G5</f>
        <v>-500</v>
      </c>
    </row>
    <row r="6" spans="2:9" x14ac:dyDescent="0.35">
      <c r="B6" s="54">
        <v>45963</v>
      </c>
      <c r="C6" s="70" t="str">
        <f>IF(Table1[[#This Row],[Date]]="","", TEXT(Table1[[#This Row],[Date]], "mmmm"))</f>
        <v>November</v>
      </c>
      <c r="D6" s="48" t="s">
        <v>210</v>
      </c>
      <c r="E6" s="48" t="s">
        <v>213</v>
      </c>
      <c r="F6" s="48" t="s">
        <v>241</v>
      </c>
      <c r="G6" s="49">
        <v>3000</v>
      </c>
      <c r="H6" s="49">
        <v>3000</v>
      </c>
      <c r="I6" s="52">
        <f>H6-G6</f>
        <v>0</v>
      </c>
    </row>
    <row r="7" spans="2:9" x14ac:dyDescent="0.35">
      <c r="B7" s="55">
        <v>45964</v>
      </c>
      <c r="C7" s="71" t="str">
        <f>IF(Table1[[#This Row],[Date]]="","", TEXT(Table1[[#This Row],[Date]], "mmmm"))</f>
        <v>November</v>
      </c>
      <c r="D7" s="50" t="s">
        <v>223</v>
      </c>
      <c r="E7" s="50" t="s">
        <v>225</v>
      </c>
      <c r="F7" s="50" t="s">
        <v>266</v>
      </c>
      <c r="G7" s="51">
        <v>2500</v>
      </c>
      <c r="H7" s="51">
        <v>3000</v>
      </c>
      <c r="I7" s="53">
        <f>H7-G7</f>
        <v>500</v>
      </c>
    </row>
    <row r="8" spans="2:9" x14ac:dyDescent="0.35">
      <c r="B8" s="55"/>
      <c r="C8" s="76"/>
      <c r="D8" s="50"/>
      <c r="E8" s="50"/>
      <c r="F8" s="50"/>
      <c r="G8" s="51"/>
      <c r="H8" s="51"/>
      <c r="I8" s="75"/>
    </row>
    <row r="9" spans="2:9" x14ac:dyDescent="0.35">
      <c r="B9" s="55"/>
      <c r="C9" s="76"/>
      <c r="D9" s="50"/>
      <c r="E9" s="50"/>
      <c r="F9" s="50"/>
      <c r="G9" s="51"/>
      <c r="H9" s="51"/>
      <c r="I9" s="75"/>
    </row>
    <row r="10" spans="2:9" x14ac:dyDescent="0.35">
      <c r="B10" s="55"/>
      <c r="C10" s="76"/>
      <c r="D10" s="50"/>
      <c r="E10" s="50"/>
      <c r="F10" s="50"/>
      <c r="G10" s="51"/>
      <c r="H10" s="51"/>
      <c r="I10" s="75"/>
    </row>
    <row r="11" spans="2:9" x14ac:dyDescent="0.35">
      <c r="B11" s="55"/>
      <c r="C11" s="76"/>
      <c r="D11" s="50"/>
      <c r="E11" s="50"/>
      <c r="F11" s="50"/>
      <c r="G11" s="51"/>
      <c r="H11" s="51"/>
      <c r="I11" s="75"/>
    </row>
    <row r="12" spans="2:9" x14ac:dyDescent="0.35">
      <c r="B12" s="54"/>
      <c r="C12" s="74" t="str">
        <f>IF(Table1[[#This Row],[Date]]="","", TEXT(Table1[[#This Row],[Date]], "mmmm"))</f>
        <v/>
      </c>
      <c r="D12" s="48"/>
      <c r="E12" s="48"/>
      <c r="F12" s="48"/>
      <c r="G12" s="49"/>
      <c r="H12" s="49"/>
      <c r="I12" s="75"/>
    </row>
    <row r="13" spans="2:9" x14ac:dyDescent="0.35">
      <c r="B13" s="54"/>
      <c r="C13" s="74" t="str">
        <f>IF(Table1[[#This Row],[Date]]="","", TEXT(Table1[[#This Row],[Date]], "mmmm"))</f>
        <v/>
      </c>
      <c r="D13" s="48"/>
      <c r="E13" s="48"/>
      <c r="F13" s="48"/>
      <c r="G13" s="49"/>
      <c r="H13" s="49"/>
      <c r="I13" s="75"/>
    </row>
    <row r="14" spans="2:9" x14ac:dyDescent="0.35">
      <c r="B14" s="54"/>
      <c r="C14" s="74" t="str">
        <f>IF(Table1[[#This Row],[Date]]="","", TEXT(Table1[[#This Row],[Date]], "mmmm"))</f>
        <v/>
      </c>
      <c r="D14" s="48"/>
      <c r="E14" s="48"/>
      <c r="F14" s="48"/>
      <c r="G14" s="49"/>
      <c r="H14" s="49"/>
      <c r="I14" s="75"/>
    </row>
    <row r="15" spans="2:9" x14ac:dyDescent="0.35">
      <c r="B15" s="73"/>
    </row>
  </sheetData>
  <sheetProtection algorithmName="SHA-512" hashValue="3nw0KOEGJ5zvRMy/hE5BEZa11C/355jBlxu4RZ/AXBV0jo2bcJay8lefLLsD+cR+CjfdCbSt7aDGoduK0/Z3kQ==" saltValue="Y9X38kNj/Xq0KsYtVDoLkw==" spinCount="100000" sheet="1" objects="1" scenarios="1" formatCells="0" selectLockedCells="1" sort="0" autoFilter="0"/>
  <conditionalFormatting sqref="I5:I1048576">
    <cfRule type="cellIs" dxfId="247" priority="3" operator="greaterThan">
      <formula>0</formula>
    </cfRule>
  </conditionalFormatting>
  <conditionalFormatting sqref="I1:I1048576">
    <cfRule type="cellIs" dxfId="246" priority="2" operator="lessThan">
      <formula>0</formula>
    </cfRule>
  </conditionalFormatting>
  <conditionalFormatting sqref="I5:I14">
    <cfRule type="cellIs" dxfId="245" priority="1" operator="equal">
      <formula>0</formula>
    </cfRule>
  </conditionalFormatting>
  <dataValidations count="5">
    <dataValidation type="custom" allowBlank="1" showInputMessage="1" showErrorMessage="1" error="Kindly enter a Date before typing an amount." promptTitle="Date Required" prompt="Kindly enter a Date before typing an amount." sqref="H15:H1048576" xr:uid="{05237373-7C30-4A8F-B4A9-49AE5F1C07E8}">
      <formula1>B15:B24&lt;&gt;""</formula1>
    </dataValidation>
    <dataValidation type="date" allowBlank="1" showInputMessage="1" showErrorMessage="1" error="Please enter a valid date(YYYY/MM/DD)" prompt="Valid date format: YYYY/MM/DD" sqref="B5:B1048576" xr:uid="{FD078034-DFA5-432D-A3A4-74C2E10933D2}">
      <formula1>DATE(1900,1,1)</formula1>
      <formula2>DATE(9999,12,31)</formula2>
    </dataValidation>
    <dataValidation type="custom" allowBlank="1" showInputMessage="1" showErrorMessage="1" error="Kindly enter a Date before typing an amount." promptTitle="Date Required" prompt="Kindly enter a Date before typing an amount." sqref="H5:H14" xr:uid="{CCD30E40-FA83-4B50-AC62-107AC264ED20}">
      <formula1>B5:B20&lt;&gt;""</formula1>
    </dataValidation>
    <dataValidation type="list" allowBlank="1" showInputMessage="1" showErrorMessage="1" sqref="E5:E1048576" xr:uid="{9E789070-3AF1-4D5B-9C0A-5D6ED629EE34}">
      <formula1>INDIRECT($D5)</formula1>
    </dataValidation>
    <dataValidation type="list" allowBlank="1" showInputMessage="1" showErrorMessage="1" sqref="F5:F1048576" xr:uid="{659CF1B2-5063-4691-8F52-47CA8FDF663C}">
      <formula1>INDIRECT($E5)</formula1>
    </dataValidation>
  </dataValidations>
  <pageMargins left="0.7" right="0.7" top="0.75" bottom="0.75" header="0.3" footer="0.3"/>
  <pageSetup orientation="portrait" r:id="rId1"/>
  <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3FF76268-2B5A-4A75-9771-A9070EFBC7F3}">
          <x14:formula1>
            <xm:f>'Dropdown Lists'!$A$21:$G$21</xm:f>
          </x14:formula1>
          <xm:sqref>D5:D1048576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EE5BC-439D-4E64-93D6-BF82CEFAB3D0}">
  <dimension ref="A1:I10"/>
  <sheetViews>
    <sheetView workbookViewId="0"/>
  </sheetViews>
  <sheetFormatPr defaultRowHeight="14.5" x14ac:dyDescent="0.35"/>
  <cols>
    <col min="1" max="1" width="14.7265625" style="64" customWidth="1"/>
    <col min="2" max="2" width="19.453125" bestFit="1" customWidth="1"/>
    <col min="3" max="3" width="12.36328125" bestFit="1" customWidth="1"/>
    <col min="8" max="8" width="12.36328125" bestFit="1" customWidth="1"/>
    <col min="9" max="9" width="14" bestFit="1" customWidth="1"/>
  </cols>
  <sheetData>
    <row r="1" spans="2:9" x14ac:dyDescent="0.35">
      <c r="B1" s="1" t="s">
        <v>7</v>
      </c>
      <c r="C1" t="s">
        <v>284</v>
      </c>
      <c r="H1" s="1" t="s">
        <v>13</v>
      </c>
      <c r="I1" t="s">
        <v>284</v>
      </c>
    </row>
    <row r="3" spans="2:9" x14ac:dyDescent="0.35">
      <c r="B3" s="1" t="s">
        <v>281</v>
      </c>
      <c r="C3" t="s">
        <v>283</v>
      </c>
      <c r="H3" s="1" t="s">
        <v>281</v>
      </c>
      <c r="I3" t="s">
        <v>285</v>
      </c>
    </row>
    <row r="4" spans="2:9" x14ac:dyDescent="0.35">
      <c r="B4" s="2" t="s">
        <v>26</v>
      </c>
      <c r="C4" s="3">
        <v>15000</v>
      </c>
      <c r="H4" s="2" t="s">
        <v>288</v>
      </c>
      <c r="I4" s="3"/>
    </row>
    <row r="5" spans="2:9" x14ac:dyDescent="0.35">
      <c r="B5" s="2" t="s">
        <v>22</v>
      </c>
      <c r="C5" s="3">
        <v>900</v>
      </c>
      <c r="H5" s="2" t="s">
        <v>21</v>
      </c>
      <c r="I5" s="3">
        <v>10</v>
      </c>
    </row>
    <row r="6" spans="2:9" x14ac:dyDescent="0.35">
      <c r="B6" s="2" t="s">
        <v>288</v>
      </c>
      <c r="C6" s="3"/>
      <c r="H6" s="2" t="s">
        <v>290</v>
      </c>
      <c r="I6" s="3">
        <v>20000</v>
      </c>
    </row>
    <row r="7" spans="2:9" x14ac:dyDescent="0.35">
      <c r="B7" s="2" t="s">
        <v>29</v>
      </c>
      <c r="C7" s="3">
        <v>4500</v>
      </c>
      <c r="H7" s="2" t="s">
        <v>291</v>
      </c>
      <c r="I7" s="3">
        <v>3200</v>
      </c>
    </row>
    <row r="8" spans="2:9" x14ac:dyDescent="0.35">
      <c r="B8" s="2" t="s">
        <v>30</v>
      </c>
      <c r="C8" s="3">
        <v>1500</v>
      </c>
      <c r="H8" s="2" t="s">
        <v>292</v>
      </c>
      <c r="I8" s="3">
        <v>1000</v>
      </c>
    </row>
    <row r="9" spans="2:9" x14ac:dyDescent="0.35">
      <c r="B9" s="2" t="s">
        <v>23</v>
      </c>
      <c r="C9" s="3">
        <v>900</v>
      </c>
      <c r="H9" s="2" t="s">
        <v>282</v>
      </c>
      <c r="I9" s="3">
        <v>24210</v>
      </c>
    </row>
    <row r="10" spans="2:9" x14ac:dyDescent="0.35">
      <c r="B10" s="2" t="s">
        <v>282</v>
      </c>
      <c r="C10" s="3">
        <v>22800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8E0F3-FFCE-46B7-82A4-757F9C635612}">
  <dimension ref="A1:AO61"/>
  <sheetViews>
    <sheetView workbookViewId="0">
      <selection activeCell="C41" sqref="C41"/>
    </sheetView>
  </sheetViews>
  <sheetFormatPr defaultRowHeight="14.5" x14ac:dyDescent="0.35"/>
  <cols>
    <col min="1" max="1" width="26.08984375" style="57" customWidth="1"/>
    <col min="2" max="2" width="26.6328125" style="57" customWidth="1"/>
    <col min="3" max="3" width="24.08984375" style="57" customWidth="1"/>
    <col min="4" max="4" width="21.54296875" style="57" customWidth="1"/>
    <col min="5" max="5" width="26.36328125" style="57" customWidth="1"/>
    <col min="6" max="6" width="23.453125" style="57" customWidth="1"/>
    <col min="7" max="7" width="23" style="57" bestFit="1" customWidth="1"/>
    <col min="8" max="8" width="24.08984375" style="57" bestFit="1" customWidth="1"/>
    <col min="9" max="9" width="20.1796875" style="57" bestFit="1" customWidth="1"/>
    <col min="10" max="10" width="19.90625" style="57" bestFit="1" customWidth="1"/>
    <col min="11" max="11" width="18.54296875" style="57" bestFit="1" customWidth="1"/>
    <col min="12" max="12" width="18.08984375" style="57" customWidth="1"/>
    <col min="13" max="13" width="23.26953125" style="57" customWidth="1"/>
    <col min="14" max="14" width="23.6328125" style="57" bestFit="1" customWidth="1"/>
    <col min="15" max="15" width="18.453125" style="57" bestFit="1" customWidth="1"/>
    <col min="16" max="16" width="18.36328125" style="57" bestFit="1" customWidth="1"/>
    <col min="17" max="17" width="23.36328125" style="57" bestFit="1" customWidth="1"/>
    <col min="18" max="18" width="23" style="57" bestFit="1" customWidth="1"/>
    <col min="19" max="19" width="20.6328125" style="57" customWidth="1"/>
    <col min="20" max="20" width="21.453125" style="57" customWidth="1"/>
    <col min="21" max="21" width="20.26953125" style="57" customWidth="1"/>
    <col min="22" max="22" width="16.6328125" style="57" customWidth="1"/>
    <col min="23" max="23" width="25.08984375" style="57" customWidth="1"/>
    <col min="24" max="24" width="14.90625" style="57" bestFit="1" customWidth="1"/>
    <col min="25" max="25" width="18.6328125" style="57" bestFit="1" customWidth="1"/>
    <col min="26" max="26" width="18.54296875" style="57" bestFit="1" customWidth="1"/>
    <col min="27" max="27" width="11.6328125" style="57" bestFit="1" customWidth="1"/>
    <col min="28" max="28" width="20.81640625" style="57" customWidth="1"/>
    <col min="29" max="29" width="17.08984375" style="57" customWidth="1"/>
    <col min="30" max="30" width="25.90625" style="57" customWidth="1"/>
    <col min="31" max="31" width="20" style="57" bestFit="1" customWidth="1"/>
    <col min="32" max="32" width="19.7265625" style="57" bestFit="1" customWidth="1"/>
    <col min="33" max="33" width="19.08984375" style="57" bestFit="1" customWidth="1"/>
    <col min="34" max="34" width="18.90625" style="57" bestFit="1" customWidth="1"/>
    <col min="35" max="35" width="19.90625" style="57" bestFit="1" customWidth="1"/>
    <col min="36" max="36" width="15.81640625" style="57" bestFit="1" customWidth="1"/>
    <col min="37" max="37" width="21.81640625" style="57" customWidth="1"/>
    <col min="38" max="38" width="19.54296875" style="57" bestFit="1" customWidth="1"/>
    <col min="39" max="39" width="21.453125" style="57" customWidth="1"/>
    <col min="40" max="40" width="21.81640625" style="57" customWidth="1"/>
    <col min="41" max="41" width="17.81640625" style="57" customWidth="1"/>
    <col min="42" max="42" width="12.90625" style="57" bestFit="1" customWidth="1"/>
    <col min="43" max="44" width="18.81640625" style="57" bestFit="1" customWidth="1"/>
    <col min="45" max="45" width="12.6328125" style="57" bestFit="1" customWidth="1"/>
    <col min="46" max="16384" width="8.7265625" style="57"/>
  </cols>
  <sheetData>
    <row r="1" spans="1:41" ht="25.5" customHeight="1" x14ac:dyDescent="0.35">
      <c r="A1" s="56" t="s">
        <v>66</v>
      </c>
    </row>
    <row r="2" spans="1:41" ht="18.5" x14ac:dyDescent="0.45">
      <c r="A2" s="58" t="s">
        <v>28</v>
      </c>
      <c r="B2" s="58" t="s">
        <v>25</v>
      </c>
      <c r="C2" s="58" t="s">
        <v>26</v>
      </c>
      <c r="D2" s="58" t="s">
        <v>22</v>
      </c>
      <c r="E2" s="58" t="s">
        <v>30</v>
      </c>
      <c r="F2" s="58" t="s">
        <v>24</v>
      </c>
      <c r="G2" s="58" t="s">
        <v>23</v>
      </c>
      <c r="H2" s="58" t="s">
        <v>29</v>
      </c>
      <c r="I2" s="58" t="s">
        <v>27</v>
      </c>
    </row>
    <row r="3" spans="1:41" x14ac:dyDescent="0.35">
      <c r="A3" s="57" t="s">
        <v>48</v>
      </c>
      <c r="B3" s="57" t="s">
        <v>54</v>
      </c>
      <c r="C3" s="57" t="s">
        <v>52</v>
      </c>
      <c r="D3" s="57" t="s">
        <v>199</v>
      </c>
      <c r="E3" s="57" t="s">
        <v>63</v>
      </c>
      <c r="F3" s="57" t="s">
        <v>35</v>
      </c>
      <c r="G3" s="57" t="s">
        <v>200</v>
      </c>
      <c r="H3" s="57" t="s">
        <v>19</v>
      </c>
      <c r="I3" s="57" t="s">
        <v>45</v>
      </c>
    </row>
    <row r="4" spans="1:41" x14ac:dyDescent="0.35">
      <c r="A4" s="57" t="s">
        <v>49</v>
      </c>
      <c r="B4" s="57" t="s">
        <v>58</v>
      </c>
      <c r="C4" s="57" t="s">
        <v>59</v>
      </c>
      <c r="D4" s="57" t="s">
        <v>32</v>
      </c>
      <c r="E4" s="57" t="s">
        <v>64</v>
      </c>
      <c r="F4" s="57" t="s">
        <v>37</v>
      </c>
      <c r="G4" s="57" t="s">
        <v>34</v>
      </c>
      <c r="H4" s="57" t="s">
        <v>61</v>
      </c>
      <c r="I4" s="57" t="s">
        <v>43</v>
      </c>
    </row>
    <row r="5" spans="1:41" x14ac:dyDescent="0.35">
      <c r="A5" s="57" t="s">
        <v>50</v>
      </c>
      <c r="B5" s="57" t="s">
        <v>55</v>
      </c>
      <c r="C5" s="57" t="s">
        <v>33</v>
      </c>
      <c r="D5" s="57" t="s">
        <v>201</v>
      </c>
      <c r="F5" s="57" t="s">
        <v>39</v>
      </c>
      <c r="G5" s="57" t="s">
        <v>40</v>
      </c>
      <c r="H5" s="57" t="s">
        <v>62</v>
      </c>
      <c r="I5" s="57" t="s">
        <v>51</v>
      </c>
    </row>
    <row r="6" spans="1:41" x14ac:dyDescent="0.35">
      <c r="B6" s="57" t="s">
        <v>41</v>
      </c>
      <c r="C6" s="57" t="s">
        <v>53</v>
      </c>
      <c r="D6" s="57" t="s">
        <v>198</v>
      </c>
      <c r="F6" s="57" t="s">
        <v>38</v>
      </c>
      <c r="G6" s="57" t="s">
        <v>57</v>
      </c>
      <c r="H6" s="57" t="s">
        <v>60</v>
      </c>
      <c r="I6" s="57" t="s">
        <v>47</v>
      </c>
    </row>
    <row r="7" spans="1:41" x14ac:dyDescent="0.35">
      <c r="B7" s="57" t="s">
        <v>42</v>
      </c>
      <c r="D7" s="57" t="s">
        <v>73</v>
      </c>
      <c r="F7" s="57" t="s">
        <v>36</v>
      </c>
      <c r="G7" s="57" t="s">
        <v>56</v>
      </c>
      <c r="I7" s="57" t="s">
        <v>46</v>
      </c>
    </row>
    <row r="8" spans="1:41" x14ac:dyDescent="0.35">
      <c r="D8" s="57" t="s">
        <v>31</v>
      </c>
      <c r="F8" s="57" t="s">
        <v>20</v>
      </c>
      <c r="I8" s="57" t="s">
        <v>44</v>
      </c>
    </row>
    <row r="11" spans="1:41" ht="15.5" x14ac:dyDescent="0.35">
      <c r="A11" s="56" t="s">
        <v>65</v>
      </c>
    </row>
    <row r="12" spans="1:41" x14ac:dyDescent="0.35">
      <c r="A12" s="59" t="s">
        <v>50</v>
      </c>
      <c r="B12" s="59" t="s">
        <v>48</v>
      </c>
      <c r="C12" s="59" t="s">
        <v>49</v>
      </c>
      <c r="D12" s="59" t="s">
        <v>58</v>
      </c>
      <c r="E12" s="59" t="s">
        <v>41</v>
      </c>
      <c r="F12" s="59" t="s">
        <v>54</v>
      </c>
      <c r="G12" s="59" t="s">
        <v>42</v>
      </c>
      <c r="H12" s="59" t="s">
        <v>55</v>
      </c>
      <c r="I12" s="59" t="s">
        <v>59</v>
      </c>
      <c r="J12" s="59" t="s">
        <v>33</v>
      </c>
      <c r="K12" s="59" t="s">
        <v>52</v>
      </c>
      <c r="L12" s="59" t="s">
        <v>53</v>
      </c>
      <c r="M12" s="59" t="s">
        <v>18</v>
      </c>
      <c r="N12" s="59" t="s">
        <v>31</v>
      </c>
      <c r="O12" s="59" t="s">
        <v>198</v>
      </c>
      <c r="P12" s="59" t="s">
        <v>32</v>
      </c>
      <c r="Q12" s="59" t="s">
        <v>201</v>
      </c>
      <c r="R12" s="59" t="s">
        <v>199</v>
      </c>
      <c r="S12" s="59" t="s">
        <v>63</v>
      </c>
      <c r="T12" s="59" t="s">
        <v>64</v>
      </c>
      <c r="U12" s="59" t="s">
        <v>35</v>
      </c>
      <c r="V12" s="59" t="s">
        <v>36</v>
      </c>
      <c r="W12" s="59" t="s">
        <v>37</v>
      </c>
      <c r="X12" s="59" t="s">
        <v>38</v>
      </c>
      <c r="Y12" s="59" t="s">
        <v>20</v>
      </c>
      <c r="Z12" s="59" t="s">
        <v>39</v>
      </c>
      <c r="AA12" s="59" t="s">
        <v>34</v>
      </c>
      <c r="AB12" s="59" t="s">
        <v>56</v>
      </c>
      <c r="AC12" s="59" t="s">
        <v>57</v>
      </c>
      <c r="AD12" s="59" t="s">
        <v>200</v>
      </c>
      <c r="AE12" s="59" t="s">
        <v>40</v>
      </c>
      <c r="AF12" s="59" t="s">
        <v>60</v>
      </c>
      <c r="AG12" s="59" t="s">
        <v>19</v>
      </c>
      <c r="AH12" s="59" t="s">
        <v>61</v>
      </c>
      <c r="AI12" s="59" t="s">
        <v>62</v>
      </c>
      <c r="AJ12" s="59" t="s">
        <v>51</v>
      </c>
      <c r="AK12" s="59" t="s">
        <v>43</v>
      </c>
      <c r="AL12" s="59" t="s">
        <v>44</v>
      </c>
      <c r="AM12" s="59" t="s">
        <v>202</v>
      </c>
      <c r="AN12" s="59" t="s">
        <v>46</v>
      </c>
      <c r="AO12" s="59" t="s">
        <v>47</v>
      </c>
    </row>
    <row r="13" spans="1:41" x14ac:dyDescent="0.35">
      <c r="A13" s="57" t="s">
        <v>172</v>
      </c>
      <c r="B13" s="57" t="s">
        <v>175</v>
      </c>
      <c r="C13" s="57" t="s">
        <v>177</v>
      </c>
      <c r="D13" s="57" t="s">
        <v>132</v>
      </c>
      <c r="E13" s="57" t="s">
        <v>134</v>
      </c>
      <c r="F13" s="57" t="s">
        <v>138</v>
      </c>
      <c r="G13" s="57" t="s">
        <v>139</v>
      </c>
      <c r="H13" s="57" t="s">
        <v>141</v>
      </c>
      <c r="I13" s="57" t="s">
        <v>145</v>
      </c>
      <c r="J13" s="57" t="s">
        <v>147</v>
      </c>
      <c r="K13" s="57" t="s">
        <v>148</v>
      </c>
      <c r="L13" s="57" t="s">
        <v>151</v>
      </c>
      <c r="M13" s="57" t="s">
        <v>67</v>
      </c>
      <c r="N13" s="57" t="s">
        <v>71</v>
      </c>
      <c r="O13" s="57" t="s">
        <v>78</v>
      </c>
      <c r="P13" s="57" t="s">
        <v>81</v>
      </c>
      <c r="Q13" s="57" t="s">
        <v>87</v>
      </c>
      <c r="R13" s="57" t="s">
        <v>91</v>
      </c>
      <c r="S13" s="57" t="s">
        <v>194</v>
      </c>
      <c r="T13" s="57" t="s">
        <v>195</v>
      </c>
      <c r="U13" s="57" t="s">
        <v>108</v>
      </c>
      <c r="V13" s="57" t="s">
        <v>114</v>
      </c>
      <c r="W13" s="57" t="s">
        <v>119</v>
      </c>
      <c r="X13" s="57" t="s">
        <v>121</v>
      </c>
      <c r="Y13" s="57" t="s">
        <v>125</v>
      </c>
      <c r="Z13" s="57" t="s">
        <v>129</v>
      </c>
      <c r="AA13" s="57" t="s">
        <v>93</v>
      </c>
      <c r="AB13" s="57" t="s">
        <v>97</v>
      </c>
      <c r="AC13" s="57" t="s">
        <v>99</v>
      </c>
      <c r="AD13" s="57" t="s">
        <v>104</v>
      </c>
      <c r="AE13" s="57" t="s">
        <v>105</v>
      </c>
      <c r="AF13" s="57" t="s">
        <v>181</v>
      </c>
      <c r="AG13" s="57" t="s">
        <v>186</v>
      </c>
      <c r="AH13" s="57" t="s">
        <v>189</v>
      </c>
      <c r="AI13" s="57" t="s">
        <v>192</v>
      </c>
      <c r="AJ13" s="57" t="s">
        <v>155</v>
      </c>
      <c r="AK13" s="57" t="s">
        <v>156</v>
      </c>
      <c r="AL13" s="57" t="s">
        <v>160</v>
      </c>
      <c r="AM13" s="57" t="s">
        <v>164</v>
      </c>
      <c r="AN13" s="57" t="s">
        <v>168</v>
      </c>
      <c r="AO13" s="57" t="s">
        <v>171</v>
      </c>
    </row>
    <row r="14" spans="1:41" x14ac:dyDescent="0.35">
      <c r="A14" s="57" t="s">
        <v>173</v>
      </c>
      <c r="B14" s="57" t="s">
        <v>127</v>
      </c>
      <c r="C14" s="57" t="s">
        <v>178</v>
      </c>
      <c r="D14" s="57" t="s">
        <v>131</v>
      </c>
      <c r="E14" s="57" t="s">
        <v>127</v>
      </c>
      <c r="F14" s="57" t="s">
        <v>137</v>
      </c>
      <c r="G14" s="57" t="s">
        <v>140</v>
      </c>
      <c r="H14" s="57" t="s">
        <v>143</v>
      </c>
      <c r="I14" s="57" t="s">
        <v>146</v>
      </c>
      <c r="J14" s="57" t="s">
        <v>123</v>
      </c>
      <c r="L14" s="57" t="s">
        <v>150</v>
      </c>
      <c r="M14" s="57" t="s">
        <v>69</v>
      </c>
      <c r="N14" s="57" t="s">
        <v>75</v>
      </c>
      <c r="O14" s="57" t="s">
        <v>79</v>
      </c>
      <c r="P14" s="57" t="s">
        <v>82</v>
      </c>
      <c r="Q14" s="57" t="s">
        <v>86</v>
      </c>
      <c r="R14" s="57" t="s">
        <v>89</v>
      </c>
      <c r="S14" s="57" t="s">
        <v>127</v>
      </c>
      <c r="T14" s="57" t="s">
        <v>196</v>
      </c>
      <c r="U14" s="57" t="s">
        <v>111</v>
      </c>
      <c r="V14" s="57" t="s">
        <v>115</v>
      </c>
      <c r="W14" s="57" t="s">
        <v>118</v>
      </c>
      <c r="X14" s="57" t="s">
        <v>127</v>
      </c>
      <c r="Y14" s="57" t="s">
        <v>126</v>
      </c>
      <c r="Z14" s="57" t="s">
        <v>128</v>
      </c>
      <c r="AA14" s="57" t="s">
        <v>94</v>
      </c>
      <c r="AB14" s="57" t="s">
        <v>95</v>
      </c>
      <c r="AC14" s="57" t="s">
        <v>101</v>
      </c>
      <c r="AD14" s="57" t="s">
        <v>102</v>
      </c>
      <c r="AE14" s="57" t="s">
        <v>106</v>
      </c>
      <c r="AF14" s="57" t="s">
        <v>183</v>
      </c>
      <c r="AG14" s="57" t="s">
        <v>184</v>
      </c>
      <c r="AH14" s="57" t="s">
        <v>187</v>
      </c>
      <c r="AI14" s="57" t="s">
        <v>190</v>
      </c>
      <c r="AJ14" s="57" t="s">
        <v>153</v>
      </c>
      <c r="AK14" s="57" t="s">
        <v>157</v>
      </c>
      <c r="AL14" s="57" t="s">
        <v>159</v>
      </c>
      <c r="AM14" s="57" t="s">
        <v>162</v>
      </c>
      <c r="AN14" s="57" t="s">
        <v>166</v>
      </c>
      <c r="AO14" s="57" t="s">
        <v>170</v>
      </c>
    </row>
    <row r="15" spans="1:41" x14ac:dyDescent="0.35">
      <c r="B15" s="57" t="s">
        <v>179</v>
      </c>
      <c r="C15" s="57" t="s">
        <v>176</v>
      </c>
      <c r="E15" s="57" t="s">
        <v>133</v>
      </c>
      <c r="F15" s="57" t="s">
        <v>136</v>
      </c>
      <c r="H15" s="57" t="s">
        <v>142</v>
      </c>
      <c r="I15" s="57" t="s">
        <v>144</v>
      </c>
      <c r="L15" s="57" t="s">
        <v>149</v>
      </c>
      <c r="M15" s="57" t="s">
        <v>70</v>
      </c>
      <c r="N15" s="57" t="s">
        <v>76</v>
      </c>
      <c r="O15" s="57" t="s">
        <v>77</v>
      </c>
      <c r="P15" s="57" t="s">
        <v>80</v>
      </c>
      <c r="Q15" s="57" t="s">
        <v>85</v>
      </c>
      <c r="R15" s="57" t="s">
        <v>88</v>
      </c>
      <c r="S15" s="57" t="s">
        <v>193</v>
      </c>
      <c r="U15" s="57" t="s">
        <v>112</v>
      </c>
      <c r="V15" s="57" t="s">
        <v>113</v>
      </c>
      <c r="W15" s="57" t="s">
        <v>120</v>
      </c>
      <c r="X15" s="57" t="s">
        <v>123</v>
      </c>
      <c r="Y15" s="57" t="s">
        <v>124</v>
      </c>
      <c r="Z15" s="57" t="s">
        <v>130</v>
      </c>
      <c r="AA15" s="57" t="s">
        <v>92</v>
      </c>
      <c r="AB15" s="57" t="s">
        <v>98</v>
      </c>
      <c r="AC15" s="57" t="s">
        <v>100</v>
      </c>
      <c r="AD15" s="57" t="s">
        <v>103</v>
      </c>
      <c r="AE15" s="57" t="s">
        <v>107</v>
      </c>
      <c r="AF15" s="57" t="s">
        <v>182</v>
      </c>
      <c r="AG15" s="57" t="s">
        <v>185</v>
      </c>
      <c r="AH15" s="57" t="s">
        <v>188</v>
      </c>
      <c r="AI15" s="57" t="s">
        <v>191</v>
      </c>
      <c r="AJ15" s="57" t="s">
        <v>154</v>
      </c>
      <c r="AK15" s="57" t="s">
        <v>158</v>
      </c>
      <c r="AL15" s="57" t="s">
        <v>161</v>
      </c>
      <c r="AM15" s="57" t="s">
        <v>163</v>
      </c>
      <c r="AN15" s="57" t="s">
        <v>167</v>
      </c>
      <c r="AO15" s="57" t="s">
        <v>169</v>
      </c>
    </row>
    <row r="16" spans="1:41" x14ac:dyDescent="0.35">
      <c r="B16" s="57" t="s">
        <v>174</v>
      </c>
      <c r="E16" s="57" t="s">
        <v>135</v>
      </c>
      <c r="I16" s="57" t="s">
        <v>127</v>
      </c>
      <c r="M16" s="57" t="s">
        <v>68</v>
      </c>
      <c r="N16" s="57" t="s">
        <v>74</v>
      </c>
      <c r="P16" s="57" t="s">
        <v>83</v>
      </c>
      <c r="Q16" s="57" t="s">
        <v>84</v>
      </c>
      <c r="R16" s="57" t="s">
        <v>90</v>
      </c>
      <c r="U16" s="57" t="s">
        <v>110</v>
      </c>
      <c r="V16" s="57" t="s">
        <v>116</v>
      </c>
      <c r="W16" s="57" t="s">
        <v>117</v>
      </c>
      <c r="X16" s="57" t="s">
        <v>122</v>
      </c>
      <c r="Y16" s="57" t="s">
        <v>127</v>
      </c>
      <c r="AB16" s="57" t="s">
        <v>96</v>
      </c>
      <c r="AJ16" s="57" t="s">
        <v>152</v>
      </c>
      <c r="AM16" s="57" t="s">
        <v>165</v>
      </c>
    </row>
    <row r="17" spans="1:25" x14ac:dyDescent="0.35">
      <c r="B17" s="57" t="s">
        <v>180</v>
      </c>
      <c r="N17" s="57" t="s">
        <v>72</v>
      </c>
      <c r="U17" s="57" t="s">
        <v>109</v>
      </c>
      <c r="Y17" s="57" t="s">
        <v>21</v>
      </c>
    </row>
    <row r="20" spans="1:25" ht="15.5" x14ac:dyDescent="0.35">
      <c r="A20" s="56" t="s">
        <v>203</v>
      </c>
    </row>
    <row r="21" spans="1:25" ht="17" x14ac:dyDescent="0.4">
      <c r="A21" s="60" t="s">
        <v>207</v>
      </c>
      <c r="B21" s="60" t="s">
        <v>217</v>
      </c>
      <c r="C21" s="60" t="s">
        <v>210</v>
      </c>
      <c r="D21" s="60" t="s">
        <v>218</v>
      </c>
      <c r="E21" s="60" t="s">
        <v>220</v>
      </c>
      <c r="F21" s="60" t="s">
        <v>223</v>
      </c>
      <c r="G21" s="60" t="s">
        <v>204</v>
      </c>
    </row>
    <row r="22" spans="1:25" x14ac:dyDescent="0.35">
      <c r="A22" s="57" t="s">
        <v>208</v>
      </c>
      <c r="B22" s="57" t="s">
        <v>164</v>
      </c>
      <c r="C22" s="57" t="s">
        <v>214</v>
      </c>
      <c r="D22" s="57" t="s">
        <v>215</v>
      </c>
      <c r="E22" s="57" t="s">
        <v>221</v>
      </c>
      <c r="F22" s="57" t="s">
        <v>265</v>
      </c>
      <c r="G22" s="57" t="s">
        <v>206</v>
      </c>
    </row>
    <row r="23" spans="1:25" x14ac:dyDescent="0.35">
      <c r="A23" s="57" t="s">
        <v>209</v>
      </c>
      <c r="B23" s="57" t="s">
        <v>219</v>
      </c>
      <c r="C23" s="57" t="s">
        <v>212</v>
      </c>
      <c r="D23" s="57" t="s">
        <v>216</v>
      </c>
      <c r="E23" s="57" t="s">
        <v>222</v>
      </c>
      <c r="F23" s="57" t="s">
        <v>225</v>
      </c>
      <c r="G23" s="57" t="s">
        <v>205</v>
      </c>
    </row>
    <row r="24" spans="1:25" x14ac:dyDescent="0.35">
      <c r="A24" s="57" t="s">
        <v>268</v>
      </c>
      <c r="C24" s="57" t="s">
        <v>213</v>
      </c>
      <c r="F24" s="57" t="s">
        <v>224</v>
      </c>
    </row>
    <row r="25" spans="1:25" x14ac:dyDescent="0.35">
      <c r="C25" s="57" t="s">
        <v>211</v>
      </c>
    </row>
    <row r="30" spans="1:25" ht="15.5" x14ac:dyDescent="0.35">
      <c r="A30" s="56" t="s">
        <v>226</v>
      </c>
    </row>
    <row r="31" spans="1:25" x14ac:dyDescent="0.35">
      <c r="A31" s="59" t="s">
        <v>208</v>
      </c>
      <c r="B31" s="59" t="s">
        <v>209</v>
      </c>
      <c r="C31" s="59" t="s">
        <v>164</v>
      </c>
      <c r="D31" s="59" t="s">
        <v>219</v>
      </c>
      <c r="E31" s="59" t="s">
        <v>214</v>
      </c>
      <c r="F31" s="59" t="s">
        <v>212</v>
      </c>
      <c r="G31" s="59" t="s">
        <v>213</v>
      </c>
      <c r="H31" s="59" t="s">
        <v>211</v>
      </c>
      <c r="I31" s="59" t="s">
        <v>215</v>
      </c>
      <c r="J31" s="59" t="s">
        <v>216</v>
      </c>
      <c r="K31" s="59" t="s">
        <v>221</v>
      </c>
      <c r="L31" s="59" t="s">
        <v>222</v>
      </c>
      <c r="M31" s="59" t="s">
        <v>265</v>
      </c>
      <c r="N31" s="59" t="s">
        <v>225</v>
      </c>
      <c r="O31" s="59" t="s">
        <v>224</v>
      </c>
      <c r="P31" s="59" t="s">
        <v>206</v>
      </c>
      <c r="Q31" s="59" t="s">
        <v>205</v>
      </c>
    </row>
    <row r="32" spans="1:25" x14ac:dyDescent="0.35">
      <c r="A32" s="57" t="s">
        <v>234</v>
      </c>
      <c r="B32" s="57" t="s">
        <v>235</v>
      </c>
      <c r="C32" s="57" t="s">
        <v>246</v>
      </c>
      <c r="D32" s="57" t="s">
        <v>244</v>
      </c>
      <c r="E32" s="57" t="s">
        <v>242</v>
      </c>
      <c r="F32" s="57" t="s">
        <v>239</v>
      </c>
      <c r="G32" s="57" t="s">
        <v>241</v>
      </c>
      <c r="H32" s="57" t="s">
        <v>238</v>
      </c>
      <c r="I32" s="57" t="s">
        <v>248</v>
      </c>
      <c r="J32" s="61" t="s">
        <v>251</v>
      </c>
      <c r="K32" s="57" t="s">
        <v>257</v>
      </c>
      <c r="L32" s="57" t="s">
        <v>258</v>
      </c>
      <c r="M32" s="57" t="s">
        <v>261</v>
      </c>
      <c r="N32" s="57" t="s">
        <v>266</v>
      </c>
      <c r="O32" s="57" t="s">
        <v>263</v>
      </c>
      <c r="P32" s="57" t="s">
        <v>230</v>
      </c>
      <c r="Q32" s="57" t="s">
        <v>227</v>
      </c>
    </row>
    <row r="33" spans="1:17" x14ac:dyDescent="0.35">
      <c r="A33" s="57" t="s">
        <v>232</v>
      </c>
      <c r="B33" s="57" t="s">
        <v>237</v>
      </c>
      <c r="C33" s="57" t="s">
        <v>247</v>
      </c>
      <c r="D33" s="57" t="s">
        <v>245</v>
      </c>
      <c r="E33" s="57" t="s">
        <v>243</v>
      </c>
      <c r="G33" s="57" t="s">
        <v>240</v>
      </c>
      <c r="I33" s="57" t="s">
        <v>250</v>
      </c>
      <c r="J33" s="61" t="s">
        <v>252</v>
      </c>
      <c r="K33" s="57" t="s">
        <v>255</v>
      </c>
      <c r="L33" s="57" t="s">
        <v>260</v>
      </c>
      <c r="M33" s="57" t="s">
        <v>262</v>
      </c>
      <c r="O33" s="57" t="s">
        <v>264</v>
      </c>
      <c r="P33" s="57" t="s">
        <v>231</v>
      </c>
      <c r="Q33" s="57" t="s">
        <v>228</v>
      </c>
    </row>
    <row r="34" spans="1:17" x14ac:dyDescent="0.35">
      <c r="A34" s="57" t="s">
        <v>233</v>
      </c>
      <c r="B34" s="57" t="s">
        <v>236</v>
      </c>
      <c r="C34" s="57" t="s">
        <v>267</v>
      </c>
      <c r="I34" s="57" t="s">
        <v>249</v>
      </c>
      <c r="K34" s="57" t="s">
        <v>256</v>
      </c>
      <c r="L34" s="57" t="s">
        <v>259</v>
      </c>
      <c r="P34" s="57" t="s">
        <v>229</v>
      </c>
    </row>
    <row r="35" spans="1:17" x14ac:dyDescent="0.35">
      <c r="K35" s="57" t="s">
        <v>254</v>
      </c>
    </row>
    <row r="36" spans="1:17" x14ac:dyDescent="0.35">
      <c r="K36" s="57" t="s">
        <v>253</v>
      </c>
    </row>
    <row r="39" spans="1:17" ht="15.5" x14ac:dyDescent="0.35">
      <c r="A39" s="62" t="s">
        <v>274</v>
      </c>
      <c r="C39" s="62" t="s">
        <v>293</v>
      </c>
    </row>
    <row r="40" spans="1:17" x14ac:dyDescent="0.35">
      <c r="A40" s="63" t="s">
        <v>14</v>
      </c>
      <c r="C40" s="45" t="s">
        <v>292</v>
      </c>
    </row>
    <row r="41" spans="1:17" x14ac:dyDescent="0.35">
      <c r="A41" s="63" t="s">
        <v>15</v>
      </c>
      <c r="C41" s="45" t="s">
        <v>291</v>
      </c>
    </row>
    <row r="42" spans="1:17" x14ac:dyDescent="0.35">
      <c r="A42" s="63" t="s">
        <v>17</v>
      </c>
      <c r="C42" s="45" t="s">
        <v>291</v>
      </c>
    </row>
    <row r="43" spans="1:17" x14ac:dyDescent="0.35">
      <c r="A43" s="63" t="s">
        <v>16</v>
      </c>
      <c r="C43" s="77" t="s">
        <v>124</v>
      </c>
    </row>
    <row r="44" spans="1:17" x14ac:dyDescent="0.35">
      <c r="C44" s="77" t="s">
        <v>294</v>
      </c>
    </row>
    <row r="45" spans="1:17" x14ac:dyDescent="0.35">
      <c r="C45" s="45" t="s">
        <v>290</v>
      </c>
    </row>
    <row r="46" spans="1:17" x14ac:dyDescent="0.35">
      <c r="C46" s="45" t="s">
        <v>21</v>
      </c>
    </row>
    <row r="47" spans="1:17" x14ac:dyDescent="0.35">
      <c r="C47" s="77" t="s">
        <v>295</v>
      </c>
    </row>
    <row r="48" spans="1:17" ht="15.5" x14ac:dyDescent="0.35">
      <c r="A48" s="62" t="s">
        <v>273</v>
      </c>
      <c r="C48" s="78" t="s">
        <v>253</v>
      </c>
    </row>
    <row r="49" spans="1:2" x14ac:dyDescent="0.35">
      <c r="A49" s="57" t="s">
        <v>287</v>
      </c>
    </row>
    <row r="50" spans="1:2" x14ac:dyDescent="0.35">
      <c r="A50" s="57" t="s">
        <v>269</v>
      </c>
    </row>
    <row r="51" spans="1:2" x14ac:dyDescent="0.35">
      <c r="A51" s="57" t="s">
        <v>270</v>
      </c>
    </row>
    <row r="52" spans="1:2" x14ac:dyDescent="0.35">
      <c r="A52" s="57" t="s">
        <v>18</v>
      </c>
    </row>
    <row r="53" spans="1:2" x14ac:dyDescent="0.35">
      <c r="A53" s="57" t="s">
        <v>271</v>
      </c>
    </row>
    <row r="54" spans="1:2" x14ac:dyDescent="0.35">
      <c r="A54" s="57" t="s">
        <v>272</v>
      </c>
    </row>
    <row r="55" spans="1:2" x14ac:dyDescent="0.35">
      <c r="A55" s="57" t="s">
        <v>275</v>
      </c>
    </row>
    <row r="61" spans="1:2" ht="15.5" x14ac:dyDescent="0.35">
      <c r="A61" s="56"/>
      <c r="B61" s="56"/>
    </row>
  </sheetData>
  <sheetProtection algorithmName="SHA-512" hashValue="er37kuTqmQ0jhYBtu3+ZBAA+tiDNZKbJ1/UtLuVmdn3jsZWaeMoT4waE5doBrOpKPfh8enRTZYESWaE0DF42nQ==" saltValue="euuShxWxhavw/fB4/Rt8Rg==" spinCount="100000" sheet="1" objects="1" scenarios="1" selectLockedCells="1"/>
  <sortState xmlns:xlrd2="http://schemas.microsoft.com/office/spreadsheetml/2017/richdata2" ref="P32:P34">
    <sortCondition ref="P32:P34"/>
  </sortState>
  <pageMargins left="0.7" right="0.7" top="0.75" bottom="0.75" header="0.3" footer="0.3"/>
  <pageSetup orientation="portrait" r:id="rId1"/>
  <drawing r:id="rId2"/>
  <tableParts count="77">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52294C9-8397-4A61-81AB-264FB6D775F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75</vt:i4>
      </vt:variant>
    </vt:vector>
  </HeadingPairs>
  <TitlesOfParts>
    <vt:vector size="81" baseType="lpstr">
      <vt:lpstr>Dashboard</vt:lpstr>
      <vt:lpstr>Annual Summary</vt:lpstr>
      <vt:lpstr>Expenses Tracker</vt:lpstr>
      <vt:lpstr>Income Tracker</vt:lpstr>
      <vt:lpstr>PT Expense&amp;Bill Distribution</vt:lpstr>
      <vt:lpstr>Dropdown Lists</vt:lpstr>
      <vt:lpstr>Accomodation</vt:lpstr>
      <vt:lpstr>Allowances</vt:lpstr>
      <vt:lpstr>Bank_Fees</vt:lpstr>
      <vt:lpstr>Bonuses</vt:lpstr>
      <vt:lpstr>Books_Materials</vt:lpstr>
      <vt:lpstr>Business_Income</vt:lpstr>
      <vt:lpstr>Car_Insurance_Registration</vt:lpstr>
      <vt:lpstr>Clothing_Accessories</vt:lpstr>
      <vt:lpstr>Commissions_Incentives</vt:lpstr>
      <vt:lpstr>Content_Creation</vt:lpstr>
      <vt:lpstr>Data_Analysis</vt:lpstr>
      <vt:lpstr>Debt_Repayment</vt:lpstr>
      <vt:lpstr>Design</vt:lpstr>
      <vt:lpstr>Digital_Sales</vt:lpstr>
      <vt:lpstr>Education</vt:lpstr>
      <vt:lpstr>Emergency_Expenses</vt:lpstr>
      <vt:lpstr>Employee_Staff_Costs</vt:lpstr>
      <vt:lpstr>Entertainment_Recreation</vt:lpstr>
      <vt:lpstr>Financial</vt:lpstr>
      <vt:lpstr>Financial_Obligations</vt:lpstr>
      <vt:lpstr>Freelance_Contract</vt:lpstr>
      <vt:lpstr>Fuel_Gas</vt:lpstr>
      <vt:lpstr>Furniture_Appliances</vt:lpstr>
      <vt:lpstr>Gift_Donations</vt:lpstr>
      <vt:lpstr>Gift_Donations_Income</vt:lpstr>
      <vt:lpstr>Groceries</vt:lpstr>
      <vt:lpstr>Gym_Fitness</vt:lpstr>
      <vt:lpstr>Haircare_Beauty</vt:lpstr>
      <vt:lpstr>Health_Insurance</vt:lpstr>
      <vt:lpstr>Healthy_Wellness</vt:lpstr>
      <vt:lpstr>Home_Maintenance</vt:lpstr>
      <vt:lpstr>Insurance_Premiums</vt:lpstr>
      <vt:lpstr>Internet_Cable</vt:lpstr>
      <vt:lpstr>Investments</vt:lpstr>
      <vt:lpstr>Living_Household</vt:lpstr>
      <vt:lpstr>Marketing_Advertising</vt:lpstr>
      <vt:lpstr>Meals_Drinks</vt:lpstr>
      <vt:lpstr>Medical_Bills</vt:lpstr>
      <vt:lpstr>Medications</vt:lpstr>
      <vt:lpstr>Miscellaneous</vt:lpstr>
      <vt:lpstr>Miscellaneous_Others</vt:lpstr>
      <vt:lpstr>Monthly_Pay</vt:lpstr>
      <vt:lpstr>Office_Supplies</vt:lpstr>
      <vt:lpstr>Online_Courses</vt:lpstr>
      <vt:lpstr>Online_Digital_Income</vt:lpstr>
      <vt:lpstr>Other_Income</vt:lpstr>
      <vt:lpstr>Parking_Tolls</vt:lpstr>
      <vt:lpstr>Personal_Lifestyle</vt:lpstr>
      <vt:lpstr>Product_Sales</vt:lpstr>
      <vt:lpstr>Professional_Fees</vt:lpstr>
      <vt:lpstr>Property</vt:lpstr>
      <vt:lpstr>Public_Transport</vt:lpstr>
      <vt:lpstr>Refunds_Rebates</vt:lpstr>
      <vt:lpstr>Rent</vt:lpstr>
      <vt:lpstr>Salary_Wages</vt:lpstr>
      <vt:lpstr>Sales</vt:lpstr>
      <vt:lpstr>SAVINGS_GOAL_NAMES</vt:lpstr>
      <vt:lpstr>Savings_Investment</vt:lpstr>
      <vt:lpstr>Services</vt:lpstr>
      <vt:lpstr>Subscription</vt:lpstr>
      <vt:lpstr>Taxes_Levies</vt:lpstr>
      <vt:lpstr>Technical_Projects</vt:lpstr>
      <vt:lpstr>Tours_Leisure</vt:lpstr>
      <vt:lpstr>Training_Development</vt:lpstr>
      <vt:lpstr>Transport_Flight</vt:lpstr>
      <vt:lpstr>Transport_Logistics</vt:lpstr>
      <vt:lpstr>Transportation</vt:lpstr>
      <vt:lpstr>Travel</vt:lpstr>
      <vt:lpstr>Tuition_Fees</vt:lpstr>
      <vt:lpstr>Unplanned_Purchases</vt:lpstr>
      <vt:lpstr>Utilities</vt:lpstr>
      <vt:lpstr>Vehicle_Maintenance</vt:lpstr>
      <vt:lpstr>Wellness_Therapy</vt:lpstr>
      <vt:lpstr>Work_Business</vt:lpstr>
      <vt:lpstr>Writing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Chidinma Udeh</dc:creator>
  <cp:lastModifiedBy>Chidinma Udeh</cp:lastModifiedBy>
  <dcterms:created xsi:type="dcterms:W3CDTF">2025-10-01T11:09:02Z</dcterms:created>
  <dcterms:modified xsi:type="dcterms:W3CDTF">2026-01-18T14:06:08Z</dcterms:modified>
</cp:coreProperties>
</file>